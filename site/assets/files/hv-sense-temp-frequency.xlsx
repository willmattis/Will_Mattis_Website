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mailuc.sharepoint.com/sites/g-BearcatElectricVehicle/Shared Documents/General/EV 4 (2025-2026)/Electronics/Simulations/Fan Control/"/>
    </mc:Choice>
  </mc:AlternateContent>
  <xr:revisionPtr revIDLastSave="144" documentId="8_{F58464FF-74B6-4950-8532-B5C71AC50A1E}" xr6:coauthVersionLast="47" xr6:coauthVersionMax="47" xr10:uidLastSave="{E683ECF8-901D-493A-99E7-CF13BE60C795}"/>
  <bookViews>
    <workbookView xWindow="-108" yWindow="-108" windowWidth="23256" windowHeight="12456" firstSheet="3" activeTab="3" xr2:uid="{F09FFCF5-5C28-4181-A3CA-2B5E80C072BB}"/>
  </bookViews>
  <sheets>
    <sheet name="555 Timer Output" sheetId="1" r:id="rId1"/>
    <sheet name="ISO 7720 Output" sheetId="2" r:id="rId2"/>
    <sheet name="10k -&gt; 10C set up" sheetId="4" r:id="rId3"/>
    <sheet name="4 Therm 90" sheetId="6" r:id="rId4"/>
    <sheet name="ISO 7720 Fix" sheetId="3" r:id="rId5"/>
    <sheet name="Sheet1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6" l="1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5" i="6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5" i="3"/>
</calcChain>
</file>

<file path=xl/sharedStrings.xml><?xml version="1.0" encoding="utf-8"?>
<sst xmlns="http://schemas.openxmlformats.org/spreadsheetml/2006/main" count="230" uniqueCount="64">
  <si>
    <t>TEMP</t>
  </si>
  <si>
    <t>Rntc</t>
  </si>
  <si>
    <t>Freq</t>
  </si>
  <si>
    <t>tper</t>
  </si>
  <si>
    <t>FROM</t>
  </si>
  <si>
    <t>TO</t>
  </si>
  <si>
    <t>Measurement: freq</t>
  </si>
  <si>
    <t xml:space="preserve">  step</t>
  </si>
  <si>
    <t>Measurement: tdeg</t>
  </si>
  <si>
    <t>Measurement: rntc</t>
  </si>
  <si>
    <t>'{10000*exp(3940*(1/(TEMP+273.15)-1/298.15))}'</t>
  </si>
  <si>
    <t>.step temp=10°</t>
  </si>
  <si>
    <t>'TEMP'</t>
  </si>
  <si>
    <t>'10/Tper'</t>
  </si>
  <si>
    <t>.step temp=15°</t>
  </si>
  <si>
    <t>.step temp=20°</t>
  </si>
  <si>
    <t>.step temp=25°</t>
  </si>
  <si>
    <t>.step temp=30°</t>
  </si>
  <si>
    <t>.step temp=35°</t>
  </si>
  <si>
    <t>.step temp=40°</t>
  </si>
  <si>
    <t>.step temp=45°</t>
  </si>
  <si>
    <t>.step temp=50°</t>
  </si>
  <si>
    <t>.step temp=55°</t>
  </si>
  <si>
    <t>.step temp=60°</t>
  </si>
  <si>
    <t>.step temp=65°</t>
  </si>
  <si>
    <t>.step temp=70°</t>
  </si>
  <si>
    <t>.step temp=75°</t>
  </si>
  <si>
    <t>.step temp=80°</t>
  </si>
  <si>
    <t>.step temp=85°</t>
  </si>
  <si>
    <t>.step temp=90°</t>
  </si>
  <si>
    <t>.step temp=95°</t>
  </si>
  <si>
    <t>.step temp=100°</t>
  </si>
  <si>
    <t>.step temp=105°</t>
  </si>
  <si>
    <t>.step temp=110°</t>
  </si>
  <si>
    <t>.step temp=115°</t>
  </si>
  <si>
    <t>.step temp=120°</t>
  </si>
  <si>
    <t>.step temp=125°</t>
  </si>
  <si>
    <t>Total elapsed time: 44.852 seconds.</t>
  </si>
  <si>
    <t>Files loaded:</t>
  </si>
  <si>
    <t>C:\Users\willm\Documents\_UC\7th Year\Automotive Design\Simulations\HV_Isolation_Transformer.net</t>
  </si>
  <si>
    <t>C:\Users\willm\Documents\_UC\7th Year\Automotive Design\Simulations\ISO7720.lib</t>
  </si>
  <si>
    <t>C:\Users\willm\AppData\Local\LTspice\lib\sub\NE555.sub</t>
  </si>
  <si>
    <t>Measurement: tper</t>
  </si>
  <si>
    <t>LTspice 24.1.10 for Windows</t>
  </si>
  <si>
    <t>Circuit: C:\Users\willm\Documents\_UC\7th Year\Automotive Design\Simulations\HV_Isolation_Transformer.net</t>
  </si>
  <si>
    <t>Start Time: Tue Jan 20 00:56:43 2026</t>
  </si>
  <si>
    <t>Options: method=gear</t>
  </si>
  <si>
    <t>Temp</t>
  </si>
  <si>
    <t xml:space="preserve">Tper </t>
  </si>
  <si>
    <t>solver = Normal</t>
  </si>
  <si>
    <t>Maximum thread count: 20</t>
  </si>
  <si>
    <t>tnom = 27</t>
  </si>
  <si>
    <t>temp = 10</t>
  </si>
  <si>
    <t>method = Gear</t>
  </si>
  <si>
    <t>Direct Newton iteration for .op point succeeded.</t>
  </si>
  <si>
    <t>Total elapsed time: 4791.512 seconds.</t>
  </si>
  <si>
    <t xml:space="preserve">3.3nF Caps used </t>
  </si>
  <si>
    <t>10/Tper'</t>
  </si>
  <si>
    <t>TEMP'</t>
  </si>
  <si>
    <t>{10000*exp(3940*(1/(TEMP+273.15)-1/298.15))}'</t>
  </si>
  <si>
    <t>Start Time: Tue Jan 27 15:16:50 2026</t>
  </si>
  <si>
    <t>Total elapsed time: 47.556 seconds.</t>
  </si>
  <si>
    <t>Start Time: Sun Jan 11 21:07:15 2026</t>
  </si>
  <si>
    <t>Total elapsed time: 36.790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</si>
</sst>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Resistance v Temp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'555 Timer Output'!$B$3:$B$25</c:f>
              <c:numCache>
                <c:formatCode>General</c:formatCode>
                <c:ptCount val="23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</c:numCache>
            </c:numRef>
          </c:cat>
          <c:val>
            <c:numRef>
              <c:f>'555 Timer Output'!$C$3:$C$26</c:f>
              <c:numCache>
                <c:formatCode>General</c:formatCode>
                <c:ptCount val="24"/>
                <c:pt idx="0">
                  <c:v>20138.7625525</c:v>
                </c:pt>
                <c:pt idx="1">
                  <c:v>15818.724221799999</c:v>
                </c:pt>
                <c:pt idx="2">
                  <c:v>12528.156843700001</c:v>
                </c:pt>
                <c:pt idx="3">
                  <c:v>10000</c:v>
                </c:pt>
                <c:pt idx="4">
                  <c:v>8041.5880165899998</c:v>
                </c:pt>
                <c:pt idx="5">
                  <c:v>6512.6158372600003</c:v>
                </c:pt>
                <c:pt idx="6">
                  <c:v>5309.9909683699998</c:v>
                </c:pt>
                <c:pt idx="7">
                  <c:v>4357.3143498500003</c:v>
                </c:pt>
                <c:pt idx="8">
                  <c:v>3597.5052267900001</c:v>
                </c:pt>
                <c:pt idx="9">
                  <c:v>2987.5826778199998</c:v>
                </c:pt>
                <c:pt idx="10">
                  <c:v>2494.94059143</c:v>
                </c:pt>
                <c:pt idx="11">
                  <c:v>2094.66624546</c:v>
                </c:pt>
                <c:pt idx="12">
                  <c:v>1767.5945050800001</c:v>
                </c:pt>
                <c:pt idx="13">
                  <c:v>1498.88488306</c:v>
                </c:pt>
                <c:pt idx="14">
                  <c:v>1276.9732216499999</c:v>
                </c:pt>
                <c:pt idx="15">
                  <c:v>1092.7938526800001</c:v>
                </c:pt>
                <c:pt idx="16">
                  <c:v>939.19848931599995</c:v>
                </c:pt>
                <c:pt idx="17">
                  <c:v>810.51922855999999</c:v>
                </c:pt>
                <c:pt idx="18">
                  <c:v>702.23784105100003</c:v>
                </c:pt>
                <c:pt idx="19">
                  <c:v>610.73396850799998</c:v>
                </c:pt>
                <c:pt idx="20">
                  <c:v>533.09227392299999</c:v>
                </c:pt>
                <c:pt idx="21">
                  <c:v>466.95390538700002</c:v>
                </c:pt>
                <c:pt idx="22">
                  <c:v>410.401466035</c:v>
                </c:pt>
                <c:pt idx="23">
                  <c:v>361.86946251099999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19-47BB-A531-EA391F064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061215"/>
        <c:axId val="52066975"/>
      </c:lineChart>
      <c:catAx>
        <c:axId val="5206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6975"/>
        <c:crosses val="autoZero"/>
        <c:auto val="1"/>
        <c:lblAlgn val="ctr"/>
        <c:lblOffset val="100"/>
        <c:noMultiLvlLbl val="0"/>
      </c:catAx>
      <c:valAx>
        <c:axId val="5206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</a:t>
            </a:r>
            <a:r>
              <a:rPr lang="en-US" baseline="0"/>
              <a:t> v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'555 Timer Output'!$D$2</c:f>
              <c:strCache>
                <c:ptCount val="1"/>
                <c:pt idx="0">
                  <c:v>Freq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'555 Timer Output'!$B$3:$B$26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cat>
          <c:val>
            <c:numRef>
              <c:f>'555 Timer Output'!$D$3:$D$26</c:f>
              <c:numCache>
                <c:formatCode>General</c:formatCode>
                <c:ptCount val="24"/>
                <c:pt idx="0">
                  <c:v>3429.4426561999999</c:v>
                </c:pt>
                <c:pt idx="1">
                  <c:v>4325.6121423599998</c:v>
                </c:pt>
                <c:pt idx="2">
                  <c:v>5398.5746835700002</c:v>
                </c:pt>
                <c:pt idx="3">
                  <c:v>6674.4382940400001</c:v>
                </c:pt>
                <c:pt idx="4">
                  <c:v>8164.2440541599999</c:v>
                </c:pt>
                <c:pt idx="5">
                  <c:v>9894.1900592399998</c:v>
                </c:pt>
                <c:pt idx="6">
                  <c:v>11851.148880299999</c:v>
                </c:pt>
                <c:pt idx="7">
                  <c:v>14078.3818276</c:v>
                </c:pt>
                <c:pt idx="8">
                  <c:v>16534.820967799998</c:v>
                </c:pt>
                <c:pt idx="9">
                  <c:v>19341.6147428</c:v>
                </c:pt>
                <c:pt idx="10">
                  <c:v>22123.861078499998</c:v>
                </c:pt>
                <c:pt idx="11">
                  <c:v>25481.904261700001</c:v>
                </c:pt>
                <c:pt idx="12">
                  <c:v>28813.342603000001</c:v>
                </c:pt>
                <c:pt idx="13">
                  <c:v>32552.867839400002</c:v>
                </c:pt>
                <c:pt idx="14">
                  <c:v>36628.019410200002</c:v>
                </c:pt>
                <c:pt idx="15">
                  <c:v>40740.4721737</c:v>
                </c:pt>
                <c:pt idx="16">
                  <c:v>45335.899698699999</c:v>
                </c:pt>
                <c:pt idx="17">
                  <c:v>50145.662717899999</c:v>
                </c:pt>
                <c:pt idx="18">
                  <c:v>55366.385059699998</c:v>
                </c:pt>
                <c:pt idx="19">
                  <c:v>57597.177219999998</c:v>
                </c:pt>
                <c:pt idx="20">
                  <c:v>62433.9120368</c:v>
                </c:pt>
                <c:pt idx="21">
                  <c:v>67382.815123199995</c:v>
                </c:pt>
                <c:pt idx="22">
                  <c:v>72390.835799599998</c:v>
                </c:pt>
                <c:pt idx="23">
                  <c:v>77352.748007500006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15-485F-9CDA-A26D59D54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2307295"/>
        <c:axId val="242307775"/>
      </c:lineChart>
      <c:catAx>
        <c:axId val="24230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07775"/>
        <c:crosses val="autoZero"/>
        <c:auto val="1"/>
        <c:lblAlgn val="ctr"/>
        <c:lblOffset val="100"/>
        <c:noMultiLvlLbl val="0"/>
      </c:catAx>
      <c:valAx>
        <c:axId val="24230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0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per 10 Oscillations v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'555 Timer Output'!$E$2</c:f>
              <c:strCache>
                <c:ptCount val="1"/>
                <c:pt idx="0">
                  <c:v>tper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'555 Timer Output'!$B$3:$B$26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cat>
          <c:val>
            <c:numRef>
              <c:f>'555 Timer Output'!$E$3:$E$26</c:f>
              <c:numCache>
                <c:formatCode>General</c:formatCode>
                <c:ptCount val="24"/>
                <c:pt idx="0">
                  <c:v>2.9159257064499998E-3</c:v>
                </c:pt>
                <c:pt idx="1">
                  <c:v>2.3118115242199999E-3</c:v>
                </c:pt>
                <c:pt idx="2">
                  <c:v>1.8523407725399999E-3</c:v>
                </c:pt>
                <c:pt idx="3">
                  <c:v>1.49825341991E-3</c:v>
                </c:pt>
                <c:pt idx="4">
                  <c:v>1.22485314423E-3</c:v>
                </c:pt>
                <c:pt idx="5">
                  <c:v>1.0106941488E-3</c:v>
                </c:pt>
                <c:pt idx="6">
                  <c:v>8.4380004850399999E-4</c:v>
                </c:pt>
                <c:pt idx="7">
                  <c:v>7.1030890640900004E-4</c:v>
                </c:pt>
                <c:pt idx="8">
                  <c:v>6.0478429246399999E-4</c:v>
                </c:pt>
                <c:pt idx="9">
                  <c:v>5.1701991446799999E-4</c:v>
                </c:pt>
                <c:pt idx="10">
                  <c:v>4.5200066862199998E-4</c:v>
                </c:pt>
                <c:pt idx="11">
                  <c:v>3.9243534930900003E-4</c:v>
                </c:pt>
                <c:pt idx="12">
                  <c:v>3.4706143392600002E-4</c:v>
                </c:pt>
                <c:pt idx="13">
                  <c:v>3.0719259664999999E-4</c:v>
                </c:pt>
                <c:pt idx="14">
                  <c:v>2.7301503496600003E-4</c:v>
                </c:pt>
                <c:pt idx="15">
                  <c:v>2.4545616352599999E-4</c:v>
                </c:pt>
                <c:pt idx="16">
                  <c:v>2.2057574828000001E-4</c:v>
                </c:pt>
                <c:pt idx="17">
                  <c:v>1.99419041608E-4</c:v>
                </c:pt>
                <c:pt idx="18">
                  <c:v>1.8061500654600001E-4</c:v>
                </c:pt>
                <c:pt idx="19">
                  <c:v>1.7361961961799999E-4</c:v>
                </c:pt>
                <c:pt idx="20">
                  <c:v>1.6016936427299999E-4</c:v>
                </c:pt>
                <c:pt idx="21">
                  <c:v>1.4840579132400001E-4</c:v>
                </c:pt>
                <c:pt idx="22">
                  <c:v>1.3813903223399999E-4</c:v>
                </c:pt>
                <c:pt idx="23">
                  <c:v>1.29277889378E-4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D0-4C97-949C-52C8DEED5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371759"/>
        <c:axId val="1611369359"/>
      </c:lineChart>
      <c:catAx>
        <c:axId val="161137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369359"/>
        <c:crosses val="autoZero"/>
        <c:auto val="1"/>
        <c:lblAlgn val="ctr"/>
        <c:lblOffset val="100"/>
        <c:noMultiLvlLbl val="0"/>
      </c:catAx>
      <c:valAx>
        <c:axId val="161136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37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</a:t>
            </a:r>
            <a:r>
              <a:rPr lang="en-US" baseline="0"/>
              <a:t> vs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'ISO 7720 Output'!$C$3:$C$26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Output'!$D$3:$D$26</c:f>
              <c:numCache>
                <c:formatCode>General</c:formatCode>
                <c:ptCount val="24"/>
                <c:pt idx="0">
                  <c:v>9821.7672752800008</c:v>
                </c:pt>
                <c:pt idx="1">
                  <c:v>12396.9409977</c:v>
                </c:pt>
                <c:pt idx="2">
                  <c:v>10798.6992226</c:v>
                </c:pt>
                <c:pt idx="3">
                  <c:v>14897.8151146</c:v>
                </c:pt>
                <c:pt idx="4">
                  <c:v>20420.917939800001</c:v>
                </c:pt>
                <c:pt idx="5">
                  <c:v>28033.4214517</c:v>
                </c:pt>
                <c:pt idx="6">
                  <c:v>34432.242011599999</c:v>
                </c:pt>
                <c:pt idx="7">
                  <c:v>47162.378933200001</c:v>
                </c:pt>
                <c:pt idx="8">
                  <c:v>43043.718365100001</c:v>
                </c:pt>
                <c:pt idx="9">
                  <c:v>61436.0806601</c:v>
                </c:pt>
                <c:pt idx="10">
                  <c:v>53405.312803599998</c:v>
                </c:pt>
                <c:pt idx="11">
                  <c:v>77076.7179263</c:v>
                </c:pt>
                <c:pt idx="12">
                  <c:v>114919.73944600001</c:v>
                </c:pt>
                <c:pt idx="13">
                  <c:v>83821.214927099994</c:v>
                </c:pt>
                <c:pt idx="14">
                  <c:v>95828.572100200006</c:v>
                </c:pt>
                <c:pt idx="15">
                  <c:v>153634.96966999999</c:v>
                </c:pt>
                <c:pt idx="16">
                  <c:v>158864.048029</c:v>
                </c:pt>
                <c:pt idx="17">
                  <c:v>119280.26986099999</c:v>
                </c:pt>
                <c:pt idx="18">
                  <c:v>211198.67765500001</c:v>
                </c:pt>
                <c:pt idx="19">
                  <c:v>210525.584275</c:v>
                </c:pt>
                <c:pt idx="20">
                  <c:v>271858.170002</c:v>
                </c:pt>
                <c:pt idx="21">
                  <c:v>224645.39978000001</c:v>
                </c:pt>
                <c:pt idx="22">
                  <c:v>237920.327773</c:v>
                </c:pt>
                <c:pt idx="23">
                  <c:v>320191.21295299998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8B-4B58-A935-E4E66820B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313583"/>
        <c:axId val="340321263"/>
      </c:scatterChart>
      <c:valAx>
        <c:axId val="34031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21263"/>
        <c:crosses val="autoZero"/>
        <c:crossBetween val="midCat"/>
      </c:valAx>
      <c:valAx>
        <c:axId val="3403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31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Rntc Vs</a:t>
            </a:r>
            <a:r>
              <a:rPr lang="en-US" baseline="0"/>
              <a:t>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'ISO 7720 Output'!$C$3:$C$26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Output'!$F$3:$F$26</c:f>
              <c:numCache>
                <c:formatCode>General</c:formatCode>
                <c:ptCount val="24"/>
                <c:pt idx="0">
                  <c:v>20138.7625525</c:v>
                </c:pt>
                <c:pt idx="1">
                  <c:v>15818.724221799999</c:v>
                </c:pt>
                <c:pt idx="2">
                  <c:v>12528.156843700001</c:v>
                </c:pt>
                <c:pt idx="3">
                  <c:v>10000</c:v>
                </c:pt>
                <c:pt idx="4">
                  <c:v>8041.5880165899998</c:v>
                </c:pt>
                <c:pt idx="5">
                  <c:v>6512.6158372600003</c:v>
                </c:pt>
                <c:pt idx="6">
                  <c:v>5309.9909683699998</c:v>
                </c:pt>
                <c:pt idx="7">
                  <c:v>4357.3143498500003</c:v>
                </c:pt>
                <c:pt idx="8">
                  <c:v>3597.5052267900001</c:v>
                </c:pt>
                <c:pt idx="9">
                  <c:v>2987.5826778199998</c:v>
                </c:pt>
                <c:pt idx="10">
                  <c:v>2494.94059143</c:v>
                </c:pt>
                <c:pt idx="11">
                  <c:v>2094.66624546</c:v>
                </c:pt>
                <c:pt idx="12">
                  <c:v>1767.5945050800001</c:v>
                </c:pt>
                <c:pt idx="13">
                  <c:v>1498.88488306</c:v>
                </c:pt>
                <c:pt idx="14">
                  <c:v>1276.9732216499999</c:v>
                </c:pt>
                <c:pt idx="15">
                  <c:v>1092.7938526800001</c:v>
                </c:pt>
                <c:pt idx="16">
                  <c:v>939.19848931599995</c:v>
                </c:pt>
                <c:pt idx="17">
                  <c:v>810.51922855999999</c:v>
                </c:pt>
                <c:pt idx="18">
                  <c:v>702.23784105100003</c:v>
                </c:pt>
                <c:pt idx="19">
                  <c:v>610.73396850799998</c:v>
                </c:pt>
                <c:pt idx="20">
                  <c:v>533.09227392299999</c:v>
                </c:pt>
                <c:pt idx="21">
                  <c:v>466.95390538700002</c:v>
                </c:pt>
                <c:pt idx="22">
                  <c:v>410.401466035</c:v>
                </c:pt>
                <c:pt idx="23">
                  <c:v>361.86946251099999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0-464E-AEF6-30ABA3F86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182239"/>
        <c:axId val="944180799"/>
      </c:scatterChart>
      <c:valAx>
        <c:axId val="944182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80799"/>
        <c:crosses val="autoZero"/>
        <c:crossBetween val="midCat"/>
      </c:valAx>
      <c:valAx>
        <c:axId val="94418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182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Tper vs temp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'ISO 7720 Output'!$C$3:$C$26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Output'!$G$3:$G$26</c:f>
              <c:numCache>
                <c:formatCode>General</c:formatCode>
                <c:ptCount val="24"/>
                <c:pt idx="0">
                  <c:v>1.01814670616E-3</c:v>
                </c:pt>
                <c:pt idx="1">
                  <c:v>8.0665060855200003E-4</c:v>
                </c:pt>
                <c:pt idx="2">
                  <c:v>9.2603746005699998E-4</c:v>
                </c:pt>
                <c:pt idx="3">
                  <c:v>6.7123936785800004E-4</c:v>
                </c:pt>
                <c:pt idx="4">
                  <c:v>4.8969395154000003E-4</c:v>
                </c:pt>
                <c:pt idx="5">
                  <c:v>3.5671707134399998E-4</c:v>
                </c:pt>
                <c:pt idx="6">
                  <c:v>2.9042546798500001E-4</c:v>
                </c:pt>
                <c:pt idx="7">
                  <c:v>2.12033409387E-4</c:v>
                </c:pt>
                <c:pt idx="8">
                  <c:v>2.3232193639E-4</c:v>
                </c:pt>
                <c:pt idx="9">
                  <c:v>1.62770800034E-4</c:v>
                </c:pt>
                <c:pt idx="10">
                  <c:v>1.8724728823799999E-4</c:v>
                </c:pt>
                <c:pt idx="11">
                  <c:v>1.29740864285E-4</c:v>
                </c:pt>
                <c:pt idx="12" formatCode="0.00E+00">
                  <c:v>8.7017252633999993E-5</c:v>
                </c:pt>
                <c:pt idx="13">
                  <c:v>1.19301539696E-4</c:v>
                </c:pt>
                <c:pt idx="14">
                  <c:v>1.04353010598E-4</c:v>
                </c:pt>
                <c:pt idx="15" formatCode="0.00E+00">
                  <c:v>6.5089347961900002E-5</c:v>
                </c:pt>
                <c:pt idx="16" formatCode="0.00E+00">
                  <c:v>6.2946904123600006E-5</c:v>
                </c:pt>
                <c:pt idx="17" formatCode="0.00E+00">
                  <c:v>8.3836161769500005E-5</c:v>
                </c:pt>
                <c:pt idx="18" formatCode="0.00E+00">
                  <c:v>4.7348781304099998E-5</c:v>
                </c:pt>
                <c:pt idx="19" formatCode="0.00E+00">
                  <c:v>4.7500165048500003E-5</c:v>
                </c:pt>
                <c:pt idx="20" formatCode="0.00E+00">
                  <c:v>3.6783886244600002E-5</c:v>
                </c:pt>
                <c:pt idx="21" formatCode="0.00E+00">
                  <c:v>4.4514599496800002E-5</c:v>
                </c:pt>
                <c:pt idx="22" formatCode="0.00E+00">
                  <c:v>4.20308768637E-5</c:v>
                </c:pt>
                <c:pt idx="23" formatCode="0.00E+00">
                  <c:v>3.1231338011399997E-5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1-45B8-A607-C3C0492D2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817935"/>
        <c:axId val="942822255"/>
      </c:scatterChart>
      <c:valAx>
        <c:axId val="94281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22255"/>
        <c:crosses val="autoZero"/>
        <c:crossBetween val="midCat"/>
      </c:valAx>
      <c:valAx>
        <c:axId val="94282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28179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Freq vs Temp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'10k -&gt; 10C set up'!$F$5:$F$28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'10k -&gt; 10C set up'!$G$5:$G$28</c:f>
              <c:numCache>
                <c:formatCode>General</c:formatCode>
                <c:ptCount val="24"/>
                <c:pt idx="0">
                  <c:v>10361.9822566</c:v>
                </c:pt>
                <c:pt idx="1">
                  <c:v>13057.123244500001</c:v>
                </c:pt>
                <c:pt idx="2">
                  <c:v>16282.9082456</c:v>
                </c:pt>
                <c:pt idx="3">
                  <c:v>20096.671972700002</c:v>
                </c:pt>
                <c:pt idx="4">
                  <c:v>24553.524991300001</c:v>
                </c:pt>
                <c:pt idx="5">
                  <c:v>29692.668715299998</c:v>
                </c:pt>
                <c:pt idx="6">
                  <c:v>35545.793485200003</c:v>
                </c:pt>
                <c:pt idx="7">
                  <c:v>42129.0308114</c:v>
                </c:pt>
                <c:pt idx="8">
                  <c:v>49414.3430696</c:v>
                </c:pt>
                <c:pt idx="9">
                  <c:v>57405.926445999998</c:v>
                </c:pt>
                <c:pt idx="10">
                  <c:v>66040.731762299998</c:v>
                </c:pt>
                <c:pt idx="11">
                  <c:v>75216.885311999999</c:v>
                </c:pt>
                <c:pt idx="12">
                  <c:v>84935.449334000004</c:v>
                </c:pt>
                <c:pt idx="13">
                  <c:v>95193.756923299996</c:v>
                </c:pt>
                <c:pt idx="14">
                  <c:v>105339.550241</c:v>
                </c:pt>
                <c:pt idx="15">
                  <c:v>116104.81797</c:v>
                </c:pt>
                <c:pt idx="16">
                  <c:v>127257.147566</c:v>
                </c:pt>
                <c:pt idx="17">
                  <c:v>138720.232705</c:v>
                </c:pt>
                <c:pt idx="18">
                  <c:v>148119.53318</c:v>
                </c:pt>
                <c:pt idx="19">
                  <c:v>159173.43251099999</c:v>
                </c:pt>
                <c:pt idx="20">
                  <c:v>170381.464305</c:v>
                </c:pt>
                <c:pt idx="21">
                  <c:v>181517.46411299999</c:v>
                </c:pt>
                <c:pt idx="22">
                  <c:v>188086.01242899999</c:v>
                </c:pt>
                <c:pt idx="23">
                  <c:v>198160.18936600001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A-44CC-BB12-FF9264E8B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71775"/>
        <c:axId val="102077535"/>
      </c:scatterChart>
      <c:valAx>
        <c:axId val="10207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7535"/>
        <c:crosses val="autoZero"/>
        <c:crossBetween val="midCat"/>
      </c:valAx>
      <c:valAx>
        <c:axId val="1020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Rntc</a:t>
            </a:r>
            <a:r>
              <a:rPr lang="en-US" baseline="0"/>
              <a:t> vs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'10k -&gt; 10C set up'!$F$5:$F$28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'10k -&gt; 10C set up'!$H$5:$H$28</c:f>
              <c:numCache>
                <c:formatCode>General</c:formatCode>
                <c:ptCount val="24"/>
                <c:pt idx="0">
                  <c:v>20138.7625525</c:v>
                </c:pt>
                <c:pt idx="1">
                  <c:v>15818.724221799999</c:v>
                </c:pt>
                <c:pt idx="2">
                  <c:v>12528.156843700001</c:v>
                </c:pt>
                <c:pt idx="3">
                  <c:v>10000</c:v>
                </c:pt>
                <c:pt idx="4">
                  <c:v>8041.5880165899998</c:v>
                </c:pt>
                <c:pt idx="5">
                  <c:v>6512.6158372600003</c:v>
                </c:pt>
                <c:pt idx="6">
                  <c:v>5309.9909683699998</c:v>
                </c:pt>
                <c:pt idx="7">
                  <c:v>4357.3143498500003</c:v>
                </c:pt>
                <c:pt idx="8">
                  <c:v>3597.5052267900001</c:v>
                </c:pt>
                <c:pt idx="9">
                  <c:v>2987.5826778199998</c:v>
                </c:pt>
                <c:pt idx="10">
                  <c:v>2494.94059143</c:v>
                </c:pt>
                <c:pt idx="11">
                  <c:v>2094.66624546</c:v>
                </c:pt>
                <c:pt idx="12">
                  <c:v>1767.5945050800001</c:v>
                </c:pt>
                <c:pt idx="13">
                  <c:v>1498.88488306</c:v>
                </c:pt>
                <c:pt idx="14">
                  <c:v>1276.9732216499999</c:v>
                </c:pt>
                <c:pt idx="15">
                  <c:v>1092.7938526800001</c:v>
                </c:pt>
                <c:pt idx="16">
                  <c:v>939.19848931599995</c:v>
                </c:pt>
                <c:pt idx="17">
                  <c:v>810.51922855999999</c:v>
                </c:pt>
                <c:pt idx="18">
                  <c:v>702.23784105100003</c:v>
                </c:pt>
                <c:pt idx="19">
                  <c:v>610.73396850799998</c:v>
                </c:pt>
                <c:pt idx="20">
                  <c:v>533.09227392299999</c:v>
                </c:pt>
                <c:pt idx="21">
                  <c:v>466.95390538700002</c:v>
                </c:pt>
                <c:pt idx="22">
                  <c:v>410.401466035</c:v>
                </c:pt>
                <c:pt idx="23">
                  <c:v>361.86946251099999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3-4ADF-A353-C14442E01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83807"/>
        <c:axId val="918284287"/>
      </c:scatterChart>
      <c:valAx>
        <c:axId val="9182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4287"/>
        <c:crosses val="autoZero"/>
        <c:crossBetween val="midCat"/>
      </c:valAx>
      <c:valAx>
        <c:axId val="9182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Tper vs 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'10k -&gt; 10C set up'!$F$5:$F$28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'10k -&gt; 10C set up'!$I$5:$I$28</c:f>
              <c:numCache>
                <c:formatCode>General</c:formatCode>
                <c:ptCount val="24"/>
                <c:pt idx="0">
                  <c:v>9.6506631186300004E-5</c:v>
                </c:pt>
                <c:pt idx="1">
                  <c:v>7.6586548297900004E-5</c:v>
                </c:pt>
                <c:pt idx="2">
                  <c:v>6.1414090463299996E-5</c:v>
                </c:pt>
                <c:pt idx="3">
                  <c:v>4.9759482632599998E-5</c:v>
                </c:pt>
                <c:pt idx="4">
                  <c:v>4.07273497534E-5</c:v>
                </c:pt>
                <c:pt idx="5">
                  <c:v>3.3678346988199999E-5</c:v>
                </c:pt>
                <c:pt idx="6">
                  <c:v>2.81327240709E-5</c:v>
                </c:pt>
                <c:pt idx="7">
                  <c:v>2.3736601121299999E-5</c:v>
                </c:pt>
                <c:pt idx="8">
                  <c:v>2.0237039245700002E-5</c:v>
                </c:pt>
                <c:pt idx="9">
                  <c:v>1.7419804224199999E-5</c:v>
                </c:pt>
                <c:pt idx="10">
                  <c:v>1.51421701928E-5</c:v>
                </c:pt>
                <c:pt idx="11">
                  <c:v>1.3294887123400002E-5</c:v>
                </c:pt>
                <c:pt idx="12">
                  <c:v>1.17736470207E-5</c:v>
                </c:pt>
                <c:pt idx="13">
                  <c:v>1.0504890576E-5</c:v>
                </c:pt>
                <c:pt idx="14">
                  <c:v>9.4931105906100004E-6</c:v>
                </c:pt>
                <c:pt idx="15">
                  <c:v>8.6129070049100003E-6</c:v>
                </c:pt>
                <c:pt idx="16">
                  <c:v>7.8581047833200009E-6</c:v>
                </c:pt>
                <c:pt idx="17">
                  <c:v>7.2087537664999999E-6</c:v>
                </c:pt>
                <c:pt idx="18">
                  <c:v>6.7513040213500001E-6</c:v>
                </c:pt>
                <c:pt idx="19">
                  <c:v>6.2824554589700005E-6</c:v>
                </c:pt>
                <c:pt idx="20">
                  <c:v>5.8691830363E-6</c:v>
                </c:pt>
                <c:pt idx="21">
                  <c:v>5.5091117809799996E-6</c:v>
                </c:pt>
                <c:pt idx="22">
                  <c:v>5.3167164697000005E-6</c:v>
                </c:pt>
                <c:pt idx="23">
                  <c:v>5.0464223071100001E-6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FF-44BF-9046-5276B4A2D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6639"/>
        <c:axId val="923555199"/>
      </c:scatterChart>
      <c:valAx>
        <c:axId val="92355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5199"/>
        <c:crosses val="autoZero"/>
        <c:crossBetween val="midCat"/>
      </c:valAx>
      <c:valAx>
        <c:axId val="9235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 (Hz) vs Temp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Freq vs Temp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 Therm 90'!$F$5:$F$28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</c:numCache>
            </c:numRef>
          </c:xVal>
          <c:yVal>
            <c:numRef>
              <c:f>'4 Therm 90'!$G$5:$G$28</c:f>
              <c:numCache>
                <c:formatCode>General</c:formatCode>
                <c:ptCount val="24"/>
                <c:pt idx="0">
                  <c:v>10392.7573696</c:v>
                </c:pt>
                <c:pt idx="1">
                  <c:v>13102.910360100001</c:v>
                </c:pt>
                <c:pt idx="2">
                  <c:v>16364.7297086</c:v>
                </c:pt>
                <c:pt idx="3">
                  <c:v>20206.396373600001</c:v>
                </c:pt>
                <c:pt idx="4">
                  <c:v>24647.0444255</c:v>
                </c:pt>
                <c:pt idx="5">
                  <c:v>29637.819181399998</c:v>
                </c:pt>
                <c:pt idx="6">
                  <c:v>35553.3851058</c:v>
                </c:pt>
                <c:pt idx="7">
                  <c:v>42083.042836400004</c:v>
                </c:pt>
                <c:pt idx="8">
                  <c:v>49478.048726200002</c:v>
                </c:pt>
                <c:pt idx="9">
                  <c:v>57268.276953799999</c:v>
                </c:pt>
                <c:pt idx="10">
                  <c:v>65909.778509900003</c:v>
                </c:pt>
                <c:pt idx="11">
                  <c:v>75123.1139539</c:v>
                </c:pt>
                <c:pt idx="12">
                  <c:v>84624.985916399994</c:v>
                </c:pt>
                <c:pt idx="13">
                  <c:v>95193.368241799995</c:v>
                </c:pt>
                <c:pt idx="14">
                  <c:v>105280.114956</c:v>
                </c:pt>
                <c:pt idx="15">
                  <c:v>115432.68031</c:v>
                </c:pt>
                <c:pt idx="16">
                  <c:v>126165.228596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B6-48A1-812D-DA4222FA6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71775"/>
        <c:axId val="102077535"/>
      </c:scatterChart>
      <c:valAx>
        <c:axId val="10207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7535"/>
        <c:crosses val="autoZero"/>
        <c:crossBetween val="midCat"/>
      </c:valAx>
      <c:valAx>
        <c:axId val="1020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Rntc (</a:t>
            </a:r>
            <a:r>
              <a:rPr lang="el-GR"/>
              <a:t>Ω) </a:t>
            </a:r>
            <a:r>
              <a:rPr lang="en-US"/>
              <a:t>vs Temp (C)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 Therm 90'!$F$5:$F$28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</c:numCache>
            </c:numRef>
          </c:xVal>
          <c:yVal>
            <c:numRef>
              <c:f>'4 Therm 90'!$H$5:$H$28</c:f>
              <c:numCache>
                <c:formatCode>General</c:formatCode>
                <c:ptCount val="24"/>
                <c:pt idx="0">
                  <c:v>20138.7625525</c:v>
                </c:pt>
                <c:pt idx="1">
                  <c:v>15818.724221799999</c:v>
                </c:pt>
                <c:pt idx="2">
                  <c:v>12528.156843700001</c:v>
                </c:pt>
                <c:pt idx="3">
                  <c:v>10000</c:v>
                </c:pt>
                <c:pt idx="4">
                  <c:v>8041.5880165899998</c:v>
                </c:pt>
                <c:pt idx="5">
                  <c:v>6512.6158372600003</c:v>
                </c:pt>
                <c:pt idx="6">
                  <c:v>5309.9909683699998</c:v>
                </c:pt>
                <c:pt idx="7">
                  <c:v>4357.3143498500003</c:v>
                </c:pt>
                <c:pt idx="8">
                  <c:v>3597.5052267900001</c:v>
                </c:pt>
                <c:pt idx="9">
                  <c:v>2987.5826778199998</c:v>
                </c:pt>
                <c:pt idx="10">
                  <c:v>2494.94059143</c:v>
                </c:pt>
                <c:pt idx="11">
                  <c:v>2094.66624546</c:v>
                </c:pt>
                <c:pt idx="12">
                  <c:v>1767.5945050800001</c:v>
                </c:pt>
                <c:pt idx="13">
                  <c:v>1498.88488306</c:v>
                </c:pt>
                <c:pt idx="14">
                  <c:v>1276.9732216499999</c:v>
                </c:pt>
                <c:pt idx="15">
                  <c:v>1092.7938526800001</c:v>
                </c:pt>
                <c:pt idx="16">
                  <c:v>939.19848931599995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A-4FCA-AA4C-A735556F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83807"/>
        <c:axId val="918284287"/>
      </c:scatterChart>
      <c:valAx>
        <c:axId val="9182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4287"/>
        <c:crosses val="autoZero"/>
        <c:crossBetween val="midCat"/>
      </c:valAx>
      <c:valAx>
        <c:axId val="9182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Tper vs 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 Therm 90'!$F$5:$F$28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</c:numCache>
            </c:numRef>
          </c:xVal>
          <c:yVal>
            <c:numRef>
              <c:f>'4 Therm 90'!$I$5:$I$28</c:f>
              <c:numCache>
                <c:formatCode>General</c:formatCode>
                <c:ptCount val="24"/>
                <c:pt idx="0">
                  <c:v>9.6220855008400001E-5</c:v>
                </c:pt>
                <c:pt idx="1">
                  <c:v>7.6318922477300002E-5</c:v>
                </c:pt>
                <c:pt idx="2">
                  <c:v>6.1107028212799999E-5</c:v>
                </c:pt>
                <c:pt idx="3">
                  <c:v>4.9489279607899998E-5</c:v>
                </c:pt>
                <c:pt idx="4">
                  <c:v>4.05728160641E-5</c:v>
                </c:pt>
                <c:pt idx="5">
                  <c:v>3.37406741663E-5</c:v>
                </c:pt>
                <c:pt idx="6">
                  <c:v>2.8126716964500002E-5</c:v>
                </c:pt>
                <c:pt idx="7">
                  <c:v>2.3762540268000002E-5</c:v>
                </c:pt>
                <c:pt idx="8">
                  <c:v>2.02109829661E-5</c:v>
                </c:pt>
                <c:pt idx="9">
                  <c:v>1.7461674301899999E-5</c:v>
                </c:pt>
                <c:pt idx="10">
                  <c:v>1.51722555076E-5</c:v>
                </c:pt>
                <c:pt idx="11">
                  <c:v>1.33114822771E-5</c:v>
                </c:pt>
                <c:pt idx="12">
                  <c:v>1.18168409622E-5</c:v>
                </c:pt>
                <c:pt idx="13">
                  <c:v>1.05049334683E-5</c:v>
                </c:pt>
                <c:pt idx="14">
                  <c:v>9.4984698717299995E-6</c:v>
                </c:pt>
                <c:pt idx="15">
                  <c:v>8.6630579599900009E-6</c:v>
                </c:pt>
                <c:pt idx="16">
                  <c:v>7.9261141213799994E-6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3-4DB0-99AF-DC15B568B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6639"/>
        <c:axId val="923555199"/>
      </c:scatterChart>
      <c:valAx>
        <c:axId val="92355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5199"/>
        <c:crosses val="autoZero"/>
        <c:crossBetween val="midCat"/>
      </c:valAx>
      <c:valAx>
        <c:axId val="9235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Freq vs Temp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'ISO 7720 Fix'!$F$5:$F$28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Fix'!$G$5:$G$28</c:f>
              <c:numCache>
                <c:formatCode>General</c:formatCode>
                <c:ptCount val="24"/>
                <c:pt idx="0">
                  <c:v>3428.9813998700001</c:v>
                </c:pt>
                <c:pt idx="1">
                  <c:v>4324.4718068700004</c:v>
                </c:pt>
                <c:pt idx="2">
                  <c:v>5399.6355480399998</c:v>
                </c:pt>
                <c:pt idx="3">
                  <c:v>6671.4964404299999</c:v>
                </c:pt>
                <c:pt idx="4">
                  <c:v>8167.3902192400001</c:v>
                </c:pt>
                <c:pt idx="5">
                  <c:v>9895.1555154199996</c:v>
                </c:pt>
                <c:pt idx="6">
                  <c:v>11859.0663525</c:v>
                </c:pt>
                <c:pt idx="7">
                  <c:v>14062.9119508</c:v>
                </c:pt>
                <c:pt idx="8">
                  <c:v>16568.7999609</c:v>
                </c:pt>
                <c:pt idx="9">
                  <c:v>19238.066995000001</c:v>
                </c:pt>
                <c:pt idx="10">
                  <c:v>22125.733382900002</c:v>
                </c:pt>
                <c:pt idx="11">
                  <c:v>25374.979258399999</c:v>
                </c:pt>
                <c:pt idx="12">
                  <c:v>28674.395982999999</c:v>
                </c:pt>
                <c:pt idx="13">
                  <c:v>32033.877391800001</c:v>
                </c:pt>
                <c:pt idx="14">
                  <c:v>35934.2170902</c:v>
                </c:pt>
                <c:pt idx="15">
                  <c:v>39806.779101</c:v>
                </c:pt>
                <c:pt idx="16">
                  <c:v>44151.685971999999</c:v>
                </c:pt>
                <c:pt idx="17">
                  <c:v>48574.248176100002</c:v>
                </c:pt>
                <c:pt idx="18">
                  <c:v>53022.788028199997</c:v>
                </c:pt>
                <c:pt idx="19">
                  <c:v>55877.895571599998</c:v>
                </c:pt>
                <c:pt idx="20">
                  <c:v>60236.9496937</c:v>
                </c:pt>
                <c:pt idx="21">
                  <c:v>64434.131145300002</c:v>
                </c:pt>
                <c:pt idx="22">
                  <c:v>68939.866830900006</c:v>
                </c:pt>
                <c:pt idx="23">
                  <c:v>73428.440990799994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E5-49F7-B239-8E381B76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71775"/>
        <c:axId val="102077535"/>
      </c:scatterChart>
      <c:valAx>
        <c:axId val="10207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7535"/>
        <c:crosses val="autoZero"/>
        <c:crossBetween val="midCat"/>
      </c:valAx>
      <c:valAx>
        <c:axId val="10207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1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Rntc</a:t>
            </a:r>
            <a:r>
              <a:rPr lang="en-US" baseline="0"/>
              <a:t> vs Temp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'ISO 7720 Fix'!$F$5:$F$28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Fix'!$H$5:$H$28</c:f>
              <c:numCache>
                <c:formatCode>General</c:formatCode>
                <c:ptCount val="24"/>
                <c:pt idx="0">
                  <c:v>20138.7625525</c:v>
                </c:pt>
                <c:pt idx="1">
                  <c:v>15818.724221799999</c:v>
                </c:pt>
                <c:pt idx="2">
                  <c:v>12528.156843700001</c:v>
                </c:pt>
                <c:pt idx="3">
                  <c:v>10000</c:v>
                </c:pt>
                <c:pt idx="4">
                  <c:v>8041.5880165899998</c:v>
                </c:pt>
                <c:pt idx="5">
                  <c:v>6512.6158372600003</c:v>
                </c:pt>
                <c:pt idx="6">
                  <c:v>5309.9909683699998</c:v>
                </c:pt>
                <c:pt idx="7">
                  <c:v>4357.3143498500003</c:v>
                </c:pt>
                <c:pt idx="8">
                  <c:v>3597.5052267900001</c:v>
                </c:pt>
                <c:pt idx="9">
                  <c:v>2987.5826778199998</c:v>
                </c:pt>
                <c:pt idx="10">
                  <c:v>2494.94059143</c:v>
                </c:pt>
                <c:pt idx="11">
                  <c:v>2094.66624546</c:v>
                </c:pt>
                <c:pt idx="12">
                  <c:v>1767.5945050800001</c:v>
                </c:pt>
                <c:pt idx="13">
                  <c:v>1498.88488306</c:v>
                </c:pt>
                <c:pt idx="14">
                  <c:v>1276.9732216499999</c:v>
                </c:pt>
                <c:pt idx="15">
                  <c:v>1092.7938526800001</c:v>
                </c:pt>
                <c:pt idx="16">
                  <c:v>939.19848931599995</c:v>
                </c:pt>
                <c:pt idx="17">
                  <c:v>810.51922855999999</c:v>
                </c:pt>
                <c:pt idx="18">
                  <c:v>702.23784105100003</c:v>
                </c:pt>
                <c:pt idx="19">
                  <c:v>610.73396850799998</c:v>
                </c:pt>
                <c:pt idx="20">
                  <c:v>533.09227392299999</c:v>
                </c:pt>
                <c:pt idx="21">
                  <c:v>466.95390538700002</c:v>
                </c:pt>
                <c:pt idx="22">
                  <c:v>410.401466035</c:v>
                </c:pt>
                <c:pt idx="23">
                  <c:v>361.86946251099999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2-4581-8011-1BA6D0A09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283807"/>
        <c:axId val="918284287"/>
      </c:scatterChart>
      <c:valAx>
        <c:axId val="91828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4287"/>
        <c:crosses val="autoZero"/>
        <c:crossBetween val="midCat"/>
      </c:valAx>
      <c:valAx>
        <c:axId val="9182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Tper vs Temp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'ISO 7720 Fix'!$F$5:$F$28</c:f>
              <c:numCache>
                <c:formatCode>General</c:formatCode>
                <c:ptCount val="2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</c:numCache>
            </c:numRef>
          </c:xVal>
          <c:yVal>
            <c:numRef>
              <c:f>'ISO 7720 Fix'!$I$5:$I$28</c:f>
              <c:numCache>
                <c:formatCode>General</c:formatCode>
                <c:ptCount val="24"/>
                <c:pt idx="0">
                  <c:v>2.9163179480600003E-4</c:v>
                </c:pt>
                <c:pt idx="1">
                  <c:v>2.3124211340899998E-4</c:v>
                </c:pt>
                <c:pt idx="2">
                  <c:v>1.8519768438099999E-4</c:v>
                </c:pt>
                <c:pt idx="3">
                  <c:v>1.4989140876100002E-4</c:v>
                </c:pt>
                <c:pt idx="4">
                  <c:v>1.2243813178500001E-4</c:v>
                </c:pt>
                <c:pt idx="5">
                  <c:v>1.0105955368199998E-4</c:v>
                </c:pt>
                <c:pt idx="6">
                  <c:v>8.4323670201000002E-5</c:v>
                </c:pt>
                <c:pt idx="7">
                  <c:v>7.1109028023300002E-5</c:v>
                </c:pt>
                <c:pt idx="8">
                  <c:v>6.0354401185499994E-5</c:v>
                </c:pt>
                <c:pt idx="9">
                  <c:v>5.1980274331200003E-5</c:v>
                </c:pt>
                <c:pt idx="10">
                  <c:v>4.5196241981900005E-5</c:v>
                </c:pt>
                <c:pt idx="11">
                  <c:v>3.9408899208100002E-5</c:v>
                </c:pt>
                <c:pt idx="12">
                  <c:v>3.4874317861600002E-5</c:v>
                </c:pt>
                <c:pt idx="13">
                  <c:v>3.12169515969E-5</c:v>
                </c:pt>
                <c:pt idx="14">
                  <c:v>2.78286291166E-5</c:v>
                </c:pt>
                <c:pt idx="15">
                  <c:v>2.5121349242100001E-5</c:v>
                </c:pt>
                <c:pt idx="16">
                  <c:v>2.2649191712299999E-5</c:v>
                </c:pt>
                <c:pt idx="17">
                  <c:v>2.0587040202400001E-5</c:v>
                </c:pt>
                <c:pt idx="18">
                  <c:v>1.8859815509299999E-5</c:v>
                </c:pt>
                <c:pt idx="19">
                  <c:v>1.7896164302E-5</c:v>
                </c:pt>
                <c:pt idx="20">
                  <c:v>1.6601106216099998E-5</c:v>
                </c:pt>
                <c:pt idx="21">
                  <c:v>1.5519725062199999E-5</c:v>
                </c:pt>
                <c:pt idx="22">
                  <c:v>1.4505395005400001E-5</c:v>
                </c:pt>
                <c:pt idx="23">
                  <c:v>1.3618701234900002E-5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54-433F-AA2A-000079A3F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56639"/>
        <c:axId val="923555199"/>
      </c:scatterChart>
      <c:valAx>
        <c:axId val="92355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5199"/>
        <c:crosses val="autoZero"/>
        <c:crossBetween val="midCat"/>
      </c:valAx>
      <c:valAx>
        <c:axId val="92355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5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443753</xdr:colOff>
      <xdr:row>2</xdr:row>
      <xdr:rowOff>26895</xdr:rowOff>
    </xdr:from>
    <xdr:to>
      <xdr:col>15</xdr:col>
      <xdr:colOff>138953</xdr:colOff>
      <xdr:row>17</xdr:row>
      <xdr:rowOff>80683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34EB32-9B9D-E7D3-4130-5B16ECD2E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421341</xdr:colOff>
      <xdr:row>2</xdr:row>
      <xdr:rowOff>26895</xdr:rowOff>
    </xdr:from>
    <xdr:to>
      <xdr:col>23</xdr:col>
      <xdr:colOff>116541</xdr:colOff>
      <xdr:row>17</xdr:row>
      <xdr:rowOff>80683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F8745-4536-6F37-D65B-26539B4074AE}"/>
            </a:ext>
            <a:ext uri="{147F2762-F138-4A5C-976F-8EAC2B608ADB}">
              <a16:predDERef xmlns:a16="http://schemas.microsoft.com/office/drawing/2014/main" pred="{1234EB32-9B9D-E7D3-4130-5B16ECD2E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348344</xdr:colOff>
      <xdr:row>2</xdr:row>
      <xdr:rowOff>27535</xdr:rowOff>
    </xdr:from>
    <xdr:to>
      <xdr:col>31</xdr:col>
      <xdr:colOff>43544</xdr:colOff>
      <xdr:row>17</xdr:row>
      <xdr:rowOff>87086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60E919-E2F6-46BC-F22B-7F09F505804F}"/>
            </a:ext>
            <a:ext uri="{147F2762-F138-4A5C-976F-8EAC2B608ADB}">
              <a16:predDERef xmlns:a16="http://schemas.microsoft.com/office/drawing/2014/main" pred="{04BF8745-4536-6F37-D65B-26539B4074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591096</xdr:colOff>
      <xdr:row>18</xdr:row>
      <xdr:rowOff>132262</xdr:rowOff>
    </xdr:from>
    <xdr:to>
      <xdr:col>29</xdr:col>
      <xdr:colOff>27216</xdr:colOff>
      <xdr:row>46</xdr:row>
      <xdr:rowOff>125780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64D45C6-7910-7A49-6E0D-E9E9E56FD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9667" y="3316333"/>
          <a:ext cx="12294870" cy="4946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532447</xdr:colOff>
      <xdr:row>2</xdr:row>
      <xdr:rowOff>12382</xdr:rowOff>
    </xdr:from>
    <xdr:to>
      <xdr:col>17</xdr:col>
      <xdr:colOff>227647</xdr:colOff>
      <xdr:row>17</xdr:row>
      <xdr:rowOff>39052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55D36-C542-53F3-4E63-C294099E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257311</xdr:colOff>
      <xdr:row>2</xdr:row>
      <xdr:rowOff>14015</xdr:rowOff>
    </xdr:from>
    <xdr:to>
      <xdr:col>32</xdr:col>
      <xdr:colOff>562111</xdr:colOff>
      <xdr:row>17</xdr:row>
      <xdr:rowOff>44494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7F67A-6D30-7E7D-A94F-F65F9BE13339}"/>
            </a:ext>
            <a:ext uri="{147F2762-F138-4A5C-976F-8EAC2B608ADB}">
              <a16:predDERef xmlns:a16="http://schemas.microsoft.com/office/drawing/2014/main" pred="{82955D36-C542-53F3-4E63-C294099E4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437197</xdr:colOff>
      <xdr:row>1</xdr:row>
      <xdr:rowOff>170497</xdr:rowOff>
    </xdr:from>
    <xdr:to>
      <xdr:col>25</xdr:col>
      <xdr:colOff>132397</xdr:colOff>
      <xdr:row>17</xdr:row>
      <xdr:rowOff>21907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064CBC-0A1A-EB67-9338-124795C2564E}"/>
            </a:ext>
            <a:ext uri="{147F2762-F138-4A5C-976F-8EAC2B608ADB}">
              <a16:predDERef xmlns:a16="http://schemas.microsoft.com/office/drawing/2014/main" pred="{A3C7F67A-6D30-7E7D-A94F-F65F9BE13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258535</xdr:colOff>
      <xdr:row>18</xdr:row>
      <xdr:rowOff>68385</xdr:rowOff>
    </xdr:from>
    <xdr:to>
      <xdr:col>32</xdr:col>
      <xdr:colOff>554885</xdr:colOff>
      <xdr:row>41</xdr:row>
      <xdr:rowOff>54821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466283-7405-62CC-04F2-B44CC8922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94071" y="3252456"/>
          <a:ext cx="13155100" cy="40492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581977</xdr:colOff>
      <xdr:row>2</xdr:row>
      <xdr:rowOff>164782</xdr:rowOff>
    </xdr:from>
    <xdr:to>
      <xdr:col>17</xdr:col>
      <xdr:colOff>277177</xdr:colOff>
      <xdr:row>18</xdr:row>
      <xdr:rowOff>10477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FAE791-D409-4324-8B0A-34B80698F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380047</xdr:colOff>
      <xdr:row>3</xdr:row>
      <xdr:rowOff>12382</xdr:rowOff>
    </xdr:from>
    <xdr:to>
      <xdr:col>25</xdr:col>
      <xdr:colOff>75247</xdr:colOff>
      <xdr:row>18</xdr:row>
      <xdr:rowOff>39052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3C60FA-61A8-4077-B22A-E692221CEF84}"/>
            </a:ext>
            <a:ext uri="{147F2762-F138-4A5C-976F-8EAC2B608ADB}">
              <a16:predDERef xmlns:a16="http://schemas.microsoft.com/office/drawing/2014/main" pred="{B4FAE791-D409-4324-8B0A-34B80698F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157978</xdr:colOff>
      <xdr:row>3</xdr:row>
      <xdr:rowOff>27349</xdr:rowOff>
    </xdr:from>
    <xdr:to>
      <xdr:col>32</xdr:col>
      <xdr:colOff>465499</xdr:colOff>
      <xdr:row>18</xdr:row>
      <xdr:rowOff>52115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B7D465-1083-44E8-A273-CB2C9043CA9A}"/>
            </a:ext>
            <a:ext uri="{147F2762-F138-4A5C-976F-8EAC2B608ADB}">
              <a16:predDERef xmlns:a16="http://schemas.microsoft.com/office/drawing/2014/main" pred="{3B3C60FA-61A8-4077-B22A-E692221CE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581025</xdr:colOff>
      <xdr:row>19</xdr:row>
      <xdr:rowOff>66675</xdr:rowOff>
    </xdr:from>
    <xdr:to>
      <xdr:col>30</xdr:col>
      <xdr:colOff>342900</xdr:colOff>
      <xdr:row>37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9B673BC-FB72-4BC7-F8FA-1FD68BD23EB5}"/>
            </a:ext>
            <a:ext uri="{147F2762-F138-4A5C-976F-8EAC2B608ADB}">
              <a16:predDERef xmlns:a16="http://schemas.microsoft.com/office/drawing/2014/main" pred="{0DB7D465-1083-44E8-A273-CB2C9043C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67425" y="3505200"/>
          <a:ext cx="12563475" cy="3324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</xdr:colOff>
      <xdr:row>3</xdr:row>
      <xdr:rowOff>12382</xdr:rowOff>
    </xdr:from>
    <xdr:to>
      <xdr:col>17</xdr:col>
      <xdr:colOff>343852</xdr:colOff>
      <xdr:row>18</xdr:row>
      <xdr:rowOff>39052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DB0C64-359E-4019-98B1-DCF31EBDA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380047</xdr:colOff>
      <xdr:row>3</xdr:row>
      <xdr:rowOff>12382</xdr:rowOff>
    </xdr:from>
    <xdr:to>
      <xdr:col>25</xdr:col>
      <xdr:colOff>75247</xdr:colOff>
      <xdr:row>18</xdr:row>
      <xdr:rowOff>39052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A31919-14B0-4F52-AC1B-BF5D58FA24BA}"/>
            </a:ext>
            <a:ext uri="{147F2762-F138-4A5C-976F-8EAC2B608ADB}">
              <a16:predDERef xmlns:a16="http://schemas.microsoft.com/office/drawing/2014/main" pred="{F7DB0C64-359E-4019-98B1-DCF31EBDAC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100828</xdr:colOff>
      <xdr:row>3</xdr:row>
      <xdr:rowOff>8299</xdr:rowOff>
    </xdr:from>
    <xdr:to>
      <xdr:col>32</xdr:col>
      <xdr:colOff>408349</xdr:colOff>
      <xdr:row>18</xdr:row>
      <xdr:rowOff>33065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4E7C64-A21F-40C3-BD65-9CF0F0728F50}"/>
            </a:ext>
            <a:ext uri="{147F2762-F138-4A5C-976F-8EAC2B608ADB}">
              <a16:predDERef xmlns:a16="http://schemas.microsoft.com/office/drawing/2014/main" pred="{D0A31919-14B0-4F52-AC1B-BF5D58FA24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590550</xdr:colOff>
      <xdr:row>18</xdr:row>
      <xdr:rowOff>171450</xdr:rowOff>
    </xdr:from>
    <xdr:to>
      <xdr:col>31</xdr:col>
      <xdr:colOff>190500</xdr:colOff>
      <xdr:row>37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4E1BFD3-3225-562B-6AF2-937621236052}"/>
            </a:ext>
            <a:ext uri="{147F2762-F138-4A5C-976F-8EAC2B608ADB}">
              <a16:predDERef xmlns:a16="http://schemas.microsoft.com/office/drawing/2014/main" pred="{4F4E7C64-A21F-40C3-BD65-9CF0F0728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86550" y="3429000"/>
          <a:ext cx="12401550" cy="3305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581977</xdr:colOff>
      <xdr:row>2</xdr:row>
      <xdr:rowOff>164782</xdr:rowOff>
    </xdr:from>
    <xdr:to>
      <xdr:col>17</xdr:col>
      <xdr:colOff>277177</xdr:colOff>
      <xdr:row>18</xdr:row>
      <xdr:rowOff>10477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2FF95-5437-B507-5D2B-DFB8F5D4D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380047</xdr:colOff>
      <xdr:row>3</xdr:row>
      <xdr:rowOff>12382</xdr:rowOff>
    </xdr:from>
    <xdr:to>
      <xdr:col>25</xdr:col>
      <xdr:colOff>75247</xdr:colOff>
      <xdr:row>18</xdr:row>
      <xdr:rowOff>39052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BC7B7-0E4E-04F8-1F25-24CE686009E3}"/>
            </a:ext>
            <a:ext uri="{147F2762-F138-4A5C-976F-8EAC2B608ADB}">
              <a16:predDERef xmlns:a16="http://schemas.microsoft.com/office/drawing/2014/main" pred="{8AE2FF95-5437-B507-5D2B-DFB8F5D4DC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157978</xdr:colOff>
      <xdr:row>3</xdr:row>
      <xdr:rowOff>27349</xdr:rowOff>
    </xdr:from>
    <xdr:to>
      <xdr:col>32</xdr:col>
      <xdr:colOff>465499</xdr:colOff>
      <xdr:row>18</xdr:row>
      <xdr:rowOff>52115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2E6EE1-7F7A-9544-58E0-BE006FB24B67}"/>
            </a:ext>
            <a:ext uri="{147F2762-F138-4A5C-976F-8EAC2B608ADB}">
              <a16:predDERef xmlns:a16="http://schemas.microsoft.com/office/drawing/2014/main" pred="{CF4BC7B7-0E4E-04F8-1F25-24CE68600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594905</xdr:colOff>
      <xdr:row>19</xdr:row>
      <xdr:rowOff>3935</xdr:rowOff>
    </xdr:from>
    <xdr:to>
      <xdr:col>32</xdr:col>
      <xdr:colOff>218716</xdr:colOff>
      <xdr:row>41</xdr:row>
      <xdr:rowOff>54321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38CB23-CA06-6778-0471-EF48A6406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18119" y="3364899"/>
          <a:ext cx="13098693" cy="39363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D3A7-3699-4DD9-90C4-8C3E49DC7077}">
  <dimension ref="B2:G107"/>
  <sheetViews>
    <sheetView topLeftCell="D20" zoomScale="70" zoomScaleNormal="70" workbookViewId="0">
      <selection activeCell="O53" sqref="O53"/>
    </sheetView>
  </sheetViews>
  <sheetFormatPr defaultRowHeight="14.45"/>
  <sheetData>
    <row r="2" spans="2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>
      <c r="B3">
        <v>10</v>
      </c>
      <c r="C3">
        <v>20138.7625525</v>
      </c>
      <c r="D3">
        <v>3429.4426561999999</v>
      </c>
      <c r="E3">
        <v>2.9159257064499998E-3</v>
      </c>
      <c r="F3">
        <v>1.2627092405200001E-3</v>
      </c>
      <c r="G3">
        <v>4.1786349469700003E-3</v>
      </c>
    </row>
    <row r="4" spans="2:7">
      <c r="B4">
        <v>15</v>
      </c>
      <c r="C4">
        <v>15818.724221799999</v>
      </c>
      <c r="D4">
        <v>4325.6121423599998</v>
      </c>
      <c r="E4">
        <v>2.3118115242199999E-3</v>
      </c>
      <c r="F4">
        <v>1.002460798E-3</v>
      </c>
      <c r="G4">
        <v>3.3142723222100001E-3</v>
      </c>
    </row>
    <row r="5" spans="2:7">
      <c r="B5">
        <v>20</v>
      </c>
      <c r="C5">
        <v>12528.156843700001</v>
      </c>
      <c r="D5">
        <v>5398.5746835700002</v>
      </c>
      <c r="E5">
        <v>1.8523407725399999E-3</v>
      </c>
      <c r="F5">
        <v>8.0287571820599998E-4</v>
      </c>
      <c r="G5">
        <v>2.6552164907499998E-3</v>
      </c>
    </row>
    <row r="6" spans="2:7">
      <c r="B6">
        <v>25</v>
      </c>
      <c r="C6">
        <v>10000</v>
      </c>
      <c r="D6">
        <v>6674.4382940400001</v>
      </c>
      <c r="E6">
        <v>1.49825341991E-3</v>
      </c>
      <c r="F6">
        <v>6.4683683933900002E-4</v>
      </c>
      <c r="G6">
        <v>2.14509025925E-3</v>
      </c>
    </row>
    <row r="7" spans="2:7">
      <c r="B7">
        <v>30</v>
      </c>
      <c r="C7">
        <v>8041.5880165899998</v>
      </c>
      <c r="D7">
        <v>8164.2440541599999</v>
      </c>
      <c r="E7">
        <v>1.22485314423E-3</v>
      </c>
      <c r="F7">
        <v>5.2291872040899996E-4</v>
      </c>
      <c r="G7">
        <v>1.74777186464E-3</v>
      </c>
    </row>
    <row r="8" spans="2:7">
      <c r="B8">
        <v>35</v>
      </c>
      <c r="C8">
        <v>6512.6158372600003</v>
      </c>
      <c r="D8">
        <v>9894.1900592399998</v>
      </c>
      <c r="E8">
        <v>1.0106941488E-3</v>
      </c>
      <c r="F8">
        <v>4.2142841942700003E-4</v>
      </c>
      <c r="G8">
        <v>1.43212256823E-3</v>
      </c>
    </row>
    <row r="9" spans="2:7">
      <c r="B9">
        <v>40</v>
      </c>
      <c r="C9">
        <v>5309.9909683699998</v>
      </c>
      <c r="D9">
        <v>11851.148880299999</v>
      </c>
      <c r="E9">
        <v>8.4380004850399999E-4</v>
      </c>
      <c r="F9">
        <v>3.34997719182E-4</v>
      </c>
      <c r="G9">
        <v>1.17879776769E-3</v>
      </c>
    </row>
    <row r="10" spans="2:7">
      <c r="B10">
        <v>45</v>
      </c>
      <c r="C10">
        <v>4357.3143498500003</v>
      </c>
      <c r="D10">
        <v>14078.3818276</v>
      </c>
      <c r="E10">
        <v>7.1030890640900004E-4</v>
      </c>
      <c r="F10">
        <v>2.5097694890999998E-4</v>
      </c>
      <c r="G10">
        <v>9.6128585531899996E-4</v>
      </c>
    </row>
    <row r="11" spans="2:7">
      <c r="B11">
        <v>50</v>
      </c>
      <c r="C11">
        <v>3597.5052267900001</v>
      </c>
      <c r="D11">
        <v>16534.820967799998</v>
      </c>
      <c r="E11">
        <v>6.0478429246399999E-4</v>
      </c>
      <c r="F11">
        <v>1.56502759552E-4</v>
      </c>
      <c r="G11">
        <v>7.6128705201600005E-4</v>
      </c>
    </row>
    <row r="12" spans="2:7">
      <c r="B12">
        <v>55</v>
      </c>
      <c r="C12">
        <v>2987.5826778199998</v>
      </c>
      <c r="D12">
        <v>19341.6147428</v>
      </c>
      <c r="E12">
        <v>5.1701991446799999E-4</v>
      </c>
      <c r="F12">
        <v>1.4936277070300001E-4</v>
      </c>
      <c r="G12">
        <v>6.6638268517099999E-4</v>
      </c>
    </row>
    <row r="13" spans="2:7">
      <c r="B13">
        <v>60</v>
      </c>
      <c r="C13">
        <v>2494.94059143</v>
      </c>
      <c r="D13">
        <v>22123.861078499998</v>
      </c>
      <c r="E13">
        <v>4.5200066862199998E-4</v>
      </c>
      <c r="F13">
        <v>1.06430736982E-4</v>
      </c>
      <c r="G13">
        <v>5.5843140560400001E-4</v>
      </c>
    </row>
    <row r="14" spans="2:7">
      <c r="B14">
        <v>65</v>
      </c>
      <c r="C14">
        <v>2094.66624546</v>
      </c>
      <c r="D14">
        <v>25481.904261700001</v>
      </c>
      <c r="E14">
        <v>3.9243534930900003E-4</v>
      </c>
      <c r="F14" s="1">
        <v>7.7771794223499994E-5</v>
      </c>
      <c r="G14">
        <v>4.7020714353200003E-4</v>
      </c>
    </row>
    <row r="15" spans="2:7">
      <c r="B15">
        <v>70</v>
      </c>
      <c r="C15">
        <v>1767.5945050800001</v>
      </c>
      <c r="D15">
        <v>28813.342603000001</v>
      </c>
      <c r="E15">
        <v>3.4706143392600002E-4</v>
      </c>
      <c r="F15" s="1">
        <v>8.95746646784E-5</v>
      </c>
      <c r="G15">
        <v>4.3663609860499999E-4</v>
      </c>
    </row>
    <row r="16" spans="2:7">
      <c r="B16">
        <v>75</v>
      </c>
      <c r="C16">
        <v>1498.88488306</v>
      </c>
      <c r="D16">
        <v>32552.867839400002</v>
      </c>
      <c r="E16">
        <v>3.0719259664999999E-4</v>
      </c>
      <c r="F16" s="1">
        <v>7.2068809137500005E-5</v>
      </c>
      <c r="G16">
        <v>3.7926140578700002E-4</v>
      </c>
    </row>
    <row r="17" spans="2:7">
      <c r="B17">
        <v>80</v>
      </c>
      <c r="C17">
        <v>1276.9732216499999</v>
      </c>
      <c r="D17">
        <v>36628.019410200002</v>
      </c>
      <c r="E17">
        <v>2.7301503496600003E-4</v>
      </c>
      <c r="F17" s="1">
        <v>5.9519520076199998E-5</v>
      </c>
      <c r="G17">
        <v>3.3253455504199999E-4</v>
      </c>
    </row>
    <row r="18" spans="2:7">
      <c r="B18">
        <v>85</v>
      </c>
      <c r="C18">
        <v>1092.7938526800001</v>
      </c>
      <c r="D18">
        <v>40740.4721737</v>
      </c>
      <c r="E18">
        <v>2.4545616352599999E-4</v>
      </c>
      <c r="F18" s="1">
        <v>5.0736822742700001E-5</v>
      </c>
      <c r="G18">
        <v>2.9619298626899998E-4</v>
      </c>
    </row>
    <row r="19" spans="2:7">
      <c r="B19">
        <v>90</v>
      </c>
      <c r="C19">
        <v>939.19848931599995</v>
      </c>
      <c r="D19">
        <v>45335.899698699999</v>
      </c>
      <c r="E19">
        <v>2.2057574828000001E-4</v>
      </c>
      <c r="F19" s="1">
        <v>4.4277974762899998E-5</v>
      </c>
      <c r="G19">
        <v>2.6485372304299999E-4</v>
      </c>
    </row>
    <row r="20" spans="2:7">
      <c r="B20">
        <v>95</v>
      </c>
      <c r="C20">
        <v>810.51922855999999</v>
      </c>
      <c r="D20">
        <v>50145.662717899999</v>
      </c>
      <c r="E20">
        <v>1.99419041608E-4</v>
      </c>
      <c r="F20" s="1">
        <v>3.9816075159000002E-5</v>
      </c>
      <c r="G20">
        <v>2.3923511676700001E-4</v>
      </c>
    </row>
    <row r="21" spans="2:7">
      <c r="B21">
        <v>100</v>
      </c>
      <c r="C21">
        <v>702.23784105100003</v>
      </c>
      <c r="D21">
        <v>55366.385059699998</v>
      </c>
      <c r="E21">
        <v>1.8061500654600001E-4</v>
      </c>
      <c r="F21" s="1">
        <v>3.57622745967E-5</v>
      </c>
      <c r="G21">
        <v>2.1637728114300001E-4</v>
      </c>
    </row>
    <row r="22" spans="2:7">
      <c r="B22">
        <v>105</v>
      </c>
      <c r="C22">
        <v>610.73396850799998</v>
      </c>
      <c r="D22">
        <v>57597.177219999998</v>
      </c>
      <c r="E22">
        <v>1.7361961961799999E-4</v>
      </c>
      <c r="F22" s="1">
        <v>4.3786350582900002E-5</v>
      </c>
      <c r="G22">
        <v>2.1740597020099999E-4</v>
      </c>
    </row>
    <row r="23" spans="2:7">
      <c r="B23">
        <v>110</v>
      </c>
      <c r="C23">
        <v>533.09227392299999</v>
      </c>
      <c r="D23">
        <v>62433.9120368</v>
      </c>
      <c r="E23">
        <v>1.6016936427299999E-4</v>
      </c>
      <c r="F23" s="1">
        <v>4.0103434873099999E-5</v>
      </c>
      <c r="G23">
        <v>2.0027279914600001E-4</v>
      </c>
    </row>
    <row r="24" spans="2:7">
      <c r="B24">
        <v>115</v>
      </c>
      <c r="C24">
        <v>466.95390538700002</v>
      </c>
      <c r="D24">
        <v>67382.815123199995</v>
      </c>
      <c r="E24">
        <v>1.4840579132400001E-4</v>
      </c>
      <c r="F24" s="1">
        <v>3.7243670312799999E-5</v>
      </c>
      <c r="G24">
        <v>1.85649461637E-4</v>
      </c>
    </row>
    <row r="25" spans="2:7">
      <c r="B25">
        <v>120</v>
      </c>
      <c r="C25">
        <v>410.401466035</v>
      </c>
      <c r="D25">
        <v>72390.835799599998</v>
      </c>
      <c r="E25">
        <v>1.3813903223399999E-4</v>
      </c>
      <c r="F25" s="1">
        <v>3.4817775863399998E-5</v>
      </c>
      <c r="G25">
        <v>1.7295680809799999E-4</v>
      </c>
    </row>
    <row r="26" spans="2:7">
      <c r="B26">
        <v>125</v>
      </c>
      <c r="C26">
        <v>361.86946251099999</v>
      </c>
      <c r="D26">
        <v>77352.748007500006</v>
      </c>
      <c r="E26">
        <v>1.29277889378E-4</v>
      </c>
      <c r="F26" s="1">
        <v>3.2800320408000002E-5</v>
      </c>
      <c r="G26">
        <v>1.62078209786E-4</v>
      </c>
    </row>
    <row r="28" spans="2:7">
      <c r="B28" t="s">
        <v>6</v>
      </c>
    </row>
    <row r="29" spans="2:7">
      <c r="B29" t="s">
        <v>7</v>
      </c>
    </row>
    <row r="30" spans="2:7">
      <c r="B30">
        <v>1</v>
      </c>
    </row>
    <row r="31" spans="2:7">
      <c r="B31">
        <v>2</v>
      </c>
    </row>
    <row r="32" spans="2:7">
      <c r="B32">
        <v>3</v>
      </c>
    </row>
    <row r="33" spans="2:2">
      <c r="B33">
        <v>4</v>
      </c>
    </row>
    <row r="34" spans="2:2">
      <c r="B34">
        <v>5</v>
      </c>
    </row>
    <row r="35" spans="2:2">
      <c r="B35">
        <v>6</v>
      </c>
    </row>
    <row r="36" spans="2:2">
      <c r="B36">
        <v>7</v>
      </c>
    </row>
    <row r="37" spans="2:2">
      <c r="B37">
        <v>8</v>
      </c>
    </row>
    <row r="38" spans="2:2">
      <c r="B38">
        <v>9</v>
      </c>
    </row>
    <row r="39" spans="2:2">
      <c r="B39">
        <v>10</v>
      </c>
    </row>
    <row r="40" spans="2:2">
      <c r="B40">
        <v>11</v>
      </c>
    </row>
    <row r="41" spans="2:2">
      <c r="B41">
        <v>12</v>
      </c>
    </row>
    <row r="42" spans="2:2">
      <c r="B42">
        <v>13</v>
      </c>
    </row>
    <row r="43" spans="2:2">
      <c r="B43">
        <v>14</v>
      </c>
    </row>
    <row r="44" spans="2:2">
      <c r="B44">
        <v>15</v>
      </c>
    </row>
    <row r="45" spans="2:2">
      <c r="B45">
        <v>16</v>
      </c>
    </row>
    <row r="46" spans="2:2">
      <c r="B46">
        <v>17</v>
      </c>
    </row>
    <row r="47" spans="2:2">
      <c r="B47">
        <v>18</v>
      </c>
    </row>
    <row r="48" spans="2:2">
      <c r="B48">
        <v>19</v>
      </c>
    </row>
    <row r="49" spans="2:2">
      <c r="B49">
        <v>20</v>
      </c>
    </row>
    <row r="50" spans="2:2">
      <c r="B50">
        <v>21</v>
      </c>
    </row>
    <row r="51" spans="2:2">
      <c r="B51">
        <v>22</v>
      </c>
    </row>
    <row r="52" spans="2:2">
      <c r="B52">
        <v>23</v>
      </c>
    </row>
    <row r="53" spans="2:2">
      <c r="B53">
        <v>24</v>
      </c>
    </row>
    <row r="55" spans="2:2">
      <c r="B55" t="s">
        <v>8</v>
      </c>
    </row>
    <row r="56" spans="2:2">
      <c r="B56" t="s">
        <v>7</v>
      </c>
    </row>
    <row r="57" spans="2:2">
      <c r="B57">
        <v>1</v>
      </c>
    </row>
    <row r="58" spans="2:2">
      <c r="B58">
        <v>2</v>
      </c>
    </row>
    <row r="59" spans="2:2">
      <c r="B59">
        <v>3</v>
      </c>
    </row>
    <row r="60" spans="2:2">
      <c r="B60">
        <v>4</v>
      </c>
    </row>
    <row r="61" spans="2:2">
      <c r="B61">
        <v>5</v>
      </c>
    </row>
    <row r="62" spans="2:2">
      <c r="B62">
        <v>6</v>
      </c>
    </row>
    <row r="63" spans="2:2">
      <c r="B63">
        <v>7</v>
      </c>
    </row>
    <row r="64" spans="2:2">
      <c r="B64">
        <v>8</v>
      </c>
    </row>
    <row r="65" spans="2:2">
      <c r="B65">
        <v>9</v>
      </c>
    </row>
    <row r="66" spans="2:2">
      <c r="B66">
        <v>10</v>
      </c>
    </row>
    <row r="67" spans="2:2">
      <c r="B67">
        <v>11</v>
      </c>
    </row>
    <row r="68" spans="2:2">
      <c r="B68">
        <v>12</v>
      </c>
    </row>
    <row r="69" spans="2:2">
      <c r="B69">
        <v>13</v>
      </c>
    </row>
    <row r="70" spans="2:2">
      <c r="B70">
        <v>14</v>
      </c>
    </row>
    <row r="71" spans="2:2">
      <c r="B71">
        <v>15</v>
      </c>
    </row>
    <row r="72" spans="2:2">
      <c r="B72">
        <v>16</v>
      </c>
    </row>
    <row r="73" spans="2:2">
      <c r="B73">
        <v>17</v>
      </c>
    </row>
    <row r="74" spans="2:2">
      <c r="B74">
        <v>18</v>
      </c>
    </row>
    <row r="75" spans="2:2">
      <c r="B75">
        <v>19</v>
      </c>
    </row>
    <row r="76" spans="2:2">
      <c r="B76">
        <v>20</v>
      </c>
    </row>
    <row r="77" spans="2:2">
      <c r="B77">
        <v>21</v>
      </c>
    </row>
    <row r="78" spans="2:2">
      <c r="B78">
        <v>22</v>
      </c>
    </row>
    <row r="79" spans="2:2">
      <c r="B79">
        <v>23</v>
      </c>
    </row>
    <row r="80" spans="2:2">
      <c r="B80">
        <v>24</v>
      </c>
    </row>
    <row r="82" spans="2:3">
      <c r="B82" t="s">
        <v>9</v>
      </c>
    </row>
    <row r="83" spans="2:3">
      <c r="B83" t="s">
        <v>7</v>
      </c>
      <c r="C83" t="s">
        <v>10</v>
      </c>
    </row>
    <row r="84" spans="2:3">
      <c r="B84">
        <v>1</v>
      </c>
    </row>
    <row r="85" spans="2:3">
      <c r="B85">
        <v>2</v>
      </c>
    </row>
    <row r="86" spans="2:3">
      <c r="B86">
        <v>3</v>
      </c>
    </row>
    <row r="87" spans="2:3">
      <c r="B87">
        <v>4</v>
      </c>
    </row>
    <row r="88" spans="2:3">
      <c r="B88">
        <v>5</v>
      </c>
    </row>
    <row r="89" spans="2:3">
      <c r="B89">
        <v>6</v>
      </c>
    </row>
    <row r="90" spans="2:3">
      <c r="B90">
        <v>7</v>
      </c>
    </row>
    <row r="91" spans="2:3">
      <c r="B91">
        <v>8</v>
      </c>
    </row>
    <row r="92" spans="2:3">
      <c r="B92">
        <v>9</v>
      </c>
    </row>
    <row r="93" spans="2:3">
      <c r="B93">
        <v>10</v>
      </c>
    </row>
    <row r="94" spans="2:3">
      <c r="B94">
        <v>11</v>
      </c>
    </row>
    <row r="95" spans="2:3">
      <c r="B95">
        <v>12</v>
      </c>
    </row>
    <row r="96" spans="2:3">
      <c r="B96">
        <v>13</v>
      </c>
    </row>
    <row r="97" spans="2:2">
      <c r="B97">
        <v>14</v>
      </c>
    </row>
    <row r="98" spans="2:2">
      <c r="B98">
        <v>15</v>
      </c>
    </row>
    <row r="99" spans="2:2">
      <c r="B99">
        <v>16</v>
      </c>
    </row>
    <row r="100" spans="2:2">
      <c r="B100">
        <v>17</v>
      </c>
    </row>
    <row r="101" spans="2:2">
      <c r="B101">
        <v>18</v>
      </c>
    </row>
    <row r="102" spans="2:2">
      <c r="B102">
        <v>19</v>
      </c>
    </row>
    <row r="103" spans="2:2">
      <c r="B103">
        <v>20</v>
      </c>
    </row>
    <row r="104" spans="2:2">
      <c r="B104">
        <v>21</v>
      </c>
    </row>
    <row r="105" spans="2:2">
      <c r="B105">
        <v>22</v>
      </c>
    </row>
    <row r="106" spans="2:2">
      <c r="B106">
        <v>23</v>
      </c>
    </row>
    <row r="107" spans="2:2">
      <c r="B107">
        <v>24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ECF7D-A558-4A04-94B4-A31AD7E783F1}">
  <dimension ref="A2:I140"/>
  <sheetViews>
    <sheetView zoomScale="70" zoomScaleNormal="70" workbookViewId="0">
      <selection activeCell="K40" sqref="K40"/>
    </sheetView>
  </sheetViews>
  <sheetFormatPr defaultRowHeight="14.45"/>
  <sheetData>
    <row r="2" spans="1:9">
      <c r="A2" t="s">
        <v>11</v>
      </c>
      <c r="C2" t="s">
        <v>12</v>
      </c>
      <c r="D2" t="s">
        <v>13</v>
      </c>
      <c r="F2" t="s">
        <v>1</v>
      </c>
      <c r="G2" t="s">
        <v>3</v>
      </c>
      <c r="H2" t="s">
        <v>4</v>
      </c>
      <c r="I2" t="s">
        <v>5</v>
      </c>
    </row>
    <row r="3" spans="1:9">
      <c r="A3" t="s">
        <v>14</v>
      </c>
      <c r="C3">
        <v>10</v>
      </c>
      <c r="D3">
        <v>9821.7672752800008</v>
      </c>
      <c r="F3">
        <v>20138.7625525</v>
      </c>
      <c r="G3">
        <v>1.01814670616E-3</v>
      </c>
      <c r="H3">
        <v>5.3622886525699998E-4</v>
      </c>
      <c r="I3">
        <v>1.5543755714200001E-3</v>
      </c>
    </row>
    <row r="4" spans="1:9">
      <c r="A4" t="s">
        <v>15</v>
      </c>
      <c r="C4">
        <v>15</v>
      </c>
      <c r="D4">
        <v>12396.9409977</v>
      </c>
      <c r="F4">
        <v>15818.724221799999</v>
      </c>
      <c r="G4">
        <v>8.0665060855200003E-4</v>
      </c>
      <c r="H4">
        <v>4.2723319544700001E-4</v>
      </c>
      <c r="I4">
        <v>1.2338838039999999E-3</v>
      </c>
    </row>
    <row r="5" spans="1:9">
      <c r="A5" t="s">
        <v>16</v>
      </c>
      <c r="C5">
        <v>20</v>
      </c>
      <c r="D5">
        <v>10798.6992226</v>
      </c>
      <c r="F5">
        <v>12528.156843700001</v>
      </c>
      <c r="G5">
        <v>9.2603746005699998E-4</v>
      </c>
      <c r="H5">
        <v>4.32307925798E-4</v>
      </c>
      <c r="I5">
        <v>1.3583453858499999E-3</v>
      </c>
    </row>
    <row r="6" spans="1:9">
      <c r="A6" t="s">
        <v>17</v>
      </c>
      <c r="C6">
        <v>25</v>
      </c>
      <c r="D6">
        <v>14897.8151146</v>
      </c>
      <c r="F6">
        <v>10000</v>
      </c>
      <c r="G6">
        <v>6.7123936785800004E-4</v>
      </c>
      <c r="H6">
        <v>2.7508908259999998E-4</v>
      </c>
      <c r="I6">
        <v>9.4632845045799997E-4</v>
      </c>
    </row>
    <row r="7" spans="1:9">
      <c r="A7" t="s">
        <v>18</v>
      </c>
      <c r="C7">
        <v>30</v>
      </c>
      <c r="D7">
        <v>20420.917939800001</v>
      </c>
      <c r="F7">
        <v>8041.5880165899998</v>
      </c>
      <c r="G7">
        <v>4.8969395154000003E-4</v>
      </c>
      <c r="H7">
        <v>2.7764649663399997E-4</v>
      </c>
      <c r="I7">
        <v>7.6734044817400001E-4</v>
      </c>
    </row>
    <row r="8" spans="1:9">
      <c r="A8" t="s">
        <v>19</v>
      </c>
      <c r="C8">
        <v>35</v>
      </c>
      <c r="D8">
        <v>28033.4214517</v>
      </c>
      <c r="F8">
        <v>6512.6158372600003</v>
      </c>
      <c r="G8">
        <v>3.5671707134399998E-4</v>
      </c>
      <c r="H8">
        <v>2.18885260603E-4</v>
      </c>
      <c r="I8">
        <v>5.7560233194699998E-4</v>
      </c>
    </row>
    <row r="9" spans="1:9">
      <c r="A9" t="s">
        <v>20</v>
      </c>
      <c r="C9">
        <v>40</v>
      </c>
      <c r="D9">
        <v>34432.242011599999</v>
      </c>
      <c r="F9">
        <v>5309.9909683699998</v>
      </c>
      <c r="G9">
        <v>2.9042546798500001E-4</v>
      </c>
      <c r="H9">
        <v>1.2785498982300001E-4</v>
      </c>
      <c r="I9">
        <v>4.1828045780799999E-4</v>
      </c>
    </row>
    <row r="10" spans="1:9">
      <c r="A10" t="s">
        <v>21</v>
      </c>
      <c r="C10">
        <v>45</v>
      </c>
      <c r="D10">
        <v>47162.378933200001</v>
      </c>
      <c r="F10">
        <v>4357.3143498500003</v>
      </c>
      <c r="G10">
        <v>2.12033409387E-4</v>
      </c>
      <c r="H10">
        <v>1.10123587126E-4</v>
      </c>
      <c r="I10">
        <v>3.2215699651299998E-4</v>
      </c>
    </row>
    <row r="11" spans="1:9">
      <c r="A11" t="s">
        <v>22</v>
      </c>
      <c r="C11">
        <v>50</v>
      </c>
      <c r="D11">
        <v>43043.718365100001</v>
      </c>
      <c r="F11">
        <v>3597.5052267900001</v>
      </c>
      <c r="G11">
        <v>2.3232193639E-4</v>
      </c>
      <c r="H11" s="1">
        <v>4.51024597106E-5</v>
      </c>
      <c r="I11">
        <v>2.77424396101E-4</v>
      </c>
    </row>
    <row r="12" spans="1:9">
      <c r="A12" t="s">
        <v>23</v>
      </c>
      <c r="C12">
        <v>55</v>
      </c>
      <c r="D12">
        <v>61436.0806601</v>
      </c>
      <c r="F12">
        <v>2987.5826778199998</v>
      </c>
      <c r="G12">
        <v>1.62770800034E-4</v>
      </c>
      <c r="H12" s="1">
        <v>3.8332606299499997E-5</v>
      </c>
      <c r="I12">
        <v>2.0110340633400001E-4</v>
      </c>
    </row>
    <row r="13" spans="1:9">
      <c r="A13" t="s">
        <v>24</v>
      </c>
      <c r="C13">
        <v>60</v>
      </c>
      <c r="D13">
        <v>53405.312803599998</v>
      </c>
      <c r="F13">
        <v>2494.94059143</v>
      </c>
      <c r="G13">
        <v>1.8724728823799999E-4</v>
      </c>
      <c r="H13" s="1">
        <v>3.3660414932400003E-5</v>
      </c>
      <c r="I13">
        <v>2.20907703171E-4</v>
      </c>
    </row>
    <row r="14" spans="1:9">
      <c r="A14" t="s">
        <v>25</v>
      </c>
      <c r="C14">
        <v>65</v>
      </c>
      <c r="D14">
        <v>77076.7179263</v>
      </c>
      <c r="F14">
        <v>2094.66624546</v>
      </c>
      <c r="G14">
        <v>1.29740864285E-4</v>
      </c>
      <c r="H14" s="1">
        <v>4.6615342216600001E-5</v>
      </c>
      <c r="I14">
        <v>1.7635620650200001E-4</v>
      </c>
    </row>
    <row r="15" spans="1:9">
      <c r="A15" t="s">
        <v>26</v>
      </c>
      <c r="C15">
        <v>70</v>
      </c>
      <c r="D15">
        <v>114919.73944600001</v>
      </c>
      <c r="F15">
        <v>1767.5945050800001</v>
      </c>
      <c r="G15" s="1">
        <v>8.7017252633999993E-5</v>
      </c>
      <c r="H15" s="1">
        <v>3.5913732458400003E-5</v>
      </c>
      <c r="I15">
        <v>1.2293098509199999E-4</v>
      </c>
    </row>
    <row r="16" spans="1:9">
      <c r="A16" t="s">
        <v>27</v>
      </c>
      <c r="C16">
        <v>75</v>
      </c>
      <c r="D16">
        <v>83821.214927099994</v>
      </c>
      <c r="F16">
        <v>1498.88488306</v>
      </c>
      <c r="G16">
        <v>1.19301539696E-4</v>
      </c>
      <c r="H16" s="1">
        <v>2.9580784751399999E-5</v>
      </c>
      <c r="I16">
        <v>1.4888232444799999E-4</v>
      </c>
    </row>
    <row r="17" spans="1:9">
      <c r="A17" t="s">
        <v>28</v>
      </c>
      <c r="C17">
        <v>80</v>
      </c>
      <c r="D17">
        <v>95828.572100200006</v>
      </c>
      <c r="F17">
        <v>1276.9732216499999</v>
      </c>
      <c r="G17">
        <v>1.04353010598E-4</v>
      </c>
      <c r="H17" s="1">
        <v>3.2093697310300003E-5</v>
      </c>
      <c r="I17">
        <v>1.36446707909E-4</v>
      </c>
    </row>
    <row r="18" spans="1:9">
      <c r="A18" t="s">
        <v>29</v>
      </c>
      <c r="C18">
        <v>85</v>
      </c>
      <c r="D18">
        <v>153634.96966999999</v>
      </c>
      <c r="F18">
        <v>1092.7938526800001</v>
      </c>
      <c r="G18" s="1">
        <v>6.5089347961900002E-5</v>
      </c>
      <c r="H18" s="1">
        <v>2.8138042478700002E-5</v>
      </c>
      <c r="I18" s="1">
        <v>9.3227390440599997E-5</v>
      </c>
    </row>
    <row r="19" spans="1:9">
      <c r="A19" t="s">
        <v>30</v>
      </c>
      <c r="C19">
        <v>90</v>
      </c>
      <c r="D19">
        <v>158864.048029</v>
      </c>
      <c r="F19">
        <v>939.19848931599995</v>
      </c>
      <c r="G19" s="1">
        <v>6.2946904123600006E-5</v>
      </c>
      <c r="H19" s="1">
        <v>3.09480930257E-5</v>
      </c>
      <c r="I19" s="1">
        <v>9.3894997149299999E-5</v>
      </c>
    </row>
    <row r="20" spans="1:9">
      <c r="A20" t="s">
        <v>31</v>
      </c>
      <c r="C20">
        <v>95</v>
      </c>
      <c r="D20">
        <v>119280.26986099999</v>
      </c>
      <c r="F20">
        <v>810.51922855999999</v>
      </c>
      <c r="G20" s="1">
        <v>8.3836161769500005E-5</v>
      </c>
      <c r="H20" s="1">
        <v>3.9646617450500003E-5</v>
      </c>
      <c r="I20">
        <v>1.2348277922E-4</v>
      </c>
    </row>
    <row r="21" spans="1:9">
      <c r="A21" t="s">
        <v>32</v>
      </c>
      <c r="C21">
        <v>100</v>
      </c>
      <c r="D21">
        <v>211198.67765500001</v>
      </c>
      <c r="F21">
        <v>702.23784105100003</v>
      </c>
      <c r="G21" s="1">
        <v>4.7348781304099998E-5</v>
      </c>
      <c r="H21" s="1">
        <v>2.6080308035000001E-5</v>
      </c>
      <c r="I21" s="1">
        <v>7.3429089339100006E-5</v>
      </c>
    </row>
    <row r="22" spans="1:9">
      <c r="A22" t="s">
        <v>33</v>
      </c>
      <c r="C22">
        <v>105</v>
      </c>
      <c r="D22">
        <v>210525.584275</v>
      </c>
      <c r="F22">
        <v>610.73396850799998</v>
      </c>
      <c r="G22" s="1">
        <v>4.7500165048500003E-5</v>
      </c>
      <c r="H22" s="1">
        <v>2.4449093015400001E-5</v>
      </c>
      <c r="I22" s="1">
        <v>7.19492580639E-5</v>
      </c>
    </row>
    <row r="23" spans="1:9">
      <c r="A23" t="s">
        <v>34</v>
      </c>
      <c r="C23">
        <v>110</v>
      </c>
      <c r="D23">
        <v>271858.170002</v>
      </c>
      <c r="F23">
        <v>533.09227392299999</v>
      </c>
      <c r="G23" s="1">
        <v>3.6783886244600002E-5</v>
      </c>
      <c r="H23" s="1">
        <v>2.2981821927199999E-5</v>
      </c>
      <c r="I23" s="1">
        <v>5.9765708171799998E-5</v>
      </c>
    </row>
    <row r="24" spans="1:9">
      <c r="A24" t="s">
        <v>35</v>
      </c>
      <c r="C24">
        <v>115</v>
      </c>
      <c r="D24">
        <v>224645.39978000001</v>
      </c>
      <c r="F24">
        <v>466.95390538700002</v>
      </c>
      <c r="G24" s="1">
        <v>4.4514599496800002E-5</v>
      </c>
      <c r="H24" s="1">
        <v>2.8694130943E-5</v>
      </c>
      <c r="I24" s="1">
        <v>7.3208730439800002E-5</v>
      </c>
    </row>
    <row r="25" spans="1:9">
      <c r="A25" t="s">
        <v>36</v>
      </c>
      <c r="C25">
        <v>120</v>
      </c>
      <c r="D25">
        <v>237920.327773</v>
      </c>
      <c r="F25">
        <v>410.401466035</v>
      </c>
      <c r="G25" s="1">
        <v>4.20308768637E-5</v>
      </c>
      <c r="H25" s="1">
        <v>2.0970139686900001E-5</v>
      </c>
      <c r="I25" s="1">
        <v>6.3001016550600004E-5</v>
      </c>
    </row>
    <row r="26" spans="1:9">
      <c r="A26" t="s">
        <v>37</v>
      </c>
      <c r="C26">
        <v>125</v>
      </c>
      <c r="D26">
        <v>320191.21295299998</v>
      </c>
      <c r="F26">
        <v>361.86946251099999</v>
      </c>
      <c r="G26" s="1">
        <v>3.1231338011399997E-5</v>
      </c>
      <c r="H26" s="1">
        <v>2.015801576E-5</v>
      </c>
      <c r="I26" s="1">
        <v>5.13893537713E-5</v>
      </c>
    </row>
    <row r="28" spans="1:9">
      <c r="A28" t="s">
        <v>38</v>
      </c>
    </row>
    <row r="29" spans="1:9">
      <c r="A29" t="s">
        <v>39</v>
      </c>
    </row>
    <row r="30" spans="1:9">
      <c r="A30" t="s">
        <v>40</v>
      </c>
    </row>
    <row r="31" spans="1:9">
      <c r="A31" t="s">
        <v>41</v>
      </c>
    </row>
    <row r="34" spans="1:4">
      <c r="A34" t="s">
        <v>42</v>
      </c>
    </row>
    <row r="35" spans="1:4">
      <c r="A35" t="s">
        <v>7</v>
      </c>
      <c r="B35" t="s">
        <v>3</v>
      </c>
      <c r="C35" t="s">
        <v>4</v>
      </c>
      <c r="D35" t="s">
        <v>5</v>
      </c>
    </row>
    <row r="36" spans="1:4">
      <c r="A36">
        <v>1</v>
      </c>
      <c r="B36">
        <v>1.01814670616E-3</v>
      </c>
      <c r="C36">
        <v>5.3622886525699998E-4</v>
      </c>
      <c r="D36">
        <v>1.5543755714200001E-3</v>
      </c>
    </row>
    <row r="37" spans="1:4">
      <c r="A37">
        <v>2</v>
      </c>
      <c r="B37">
        <v>8.0665060855200003E-4</v>
      </c>
      <c r="C37">
        <v>4.2723319544700001E-4</v>
      </c>
      <c r="D37">
        <v>1.2338838039999999E-3</v>
      </c>
    </row>
    <row r="38" spans="1:4">
      <c r="A38">
        <v>3</v>
      </c>
      <c r="B38">
        <v>9.2603746005699998E-4</v>
      </c>
      <c r="C38">
        <v>4.32307925798E-4</v>
      </c>
      <c r="D38">
        <v>1.3583453858499999E-3</v>
      </c>
    </row>
    <row r="39" spans="1:4">
      <c r="A39">
        <v>4</v>
      </c>
      <c r="B39">
        <v>6.7123936785800004E-4</v>
      </c>
      <c r="C39">
        <v>2.7508908259999998E-4</v>
      </c>
      <c r="D39">
        <v>9.4632845045799997E-4</v>
      </c>
    </row>
    <row r="40" spans="1:4">
      <c r="A40">
        <v>5</v>
      </c>
      <c r="B40">
        <v>4.8969395154000003E-4</v>
      </c>
      <c r="C40">
        <v>2.7764649663399997E-4</v>
      </c>
      <c r="D40">
        <v>7.6734044817400001E-4</v>
      </c>
    </row>
    <row r="41" spans="1:4">
      <c r="A41">
        <v>6</v>
      </c>
      <c r="B41">
        <v>3.5671707134399998E-4</v>
      </c>
      <c r="C41">
        <v>2.18885260603E-4</v>
      </c>
      <c r="D41">
        <v>5.7560233194699998E-4</v>
      </c>
    </row>
    <row r="42" spans="1:4">
      <c r="A42">
        <v>7</v>
      </c>
      <c r="B42">
        <v>2.9042546798500001E-4</v>
      </c>
      <c r="C42">
        <v>1.2785498982300001E-4</v>
      </c>
      <c r="D42">
        <v>4.1828045780799999E-4</v>
      </c>
    </row>
    <row r="43" spans="1:4">
      <c r="A43">
        <v>8</v>
      </c>
      <c r="B43">
        <v>2.12033409387E-4</v>
      </c>
      <c r="C43">
        <v>1.10123587126E-4</v>
      </c>
      <c r="D43">
        <v>3.2215699651299998E-4</v>
      </c>
    </row>
    <row r="44" spans="1:4">
      <c r="A44">
        <v>9</v>
      </c>
      <c r="B44">
        <v>2.3232193639E-4</v>
      </c>
      <c r="C44" s="1">
        <v>4.51024597106E-5</v>
      </c>
      <c r="D44">
        <v>2.77424396101E-4</v>
      </c>
    </row>
    <row r="45" spans="1:4">
      <c r="A45">
        <v>10</v>
      </c>
      <c r="B45">
        <v>1.62770800034E-4</v>
      </c>
      <c r="C45" s="1">
        <v>3.8332606299499997E-5</v>
      </c>
      <c r="D45">
        <v>2.0110340633400001E-4</v>
      </c>
    </row>
    <row r="46" spans="1:4">
      <c r="A46">
        <v>11</v>
      </c>
      <c r="B46">
        <v>1.8724728823799999E-4</v>
      </c>
      <c r="C46" s="1">
        <v>3.3660414932400003E-5</v>
      </c>
      <c r="D46">
        <v>2.20907703171E-4</v>
      </c>
    </row>
    <row r="47" spans="1:4">
      <c r="A47">
        <v>12</v>
      </c>
      <c r="B47">
        <v>1.29740864285E-4</v>
      </c>
      <c r="C47" s="1">
        <v>4.6615342216600001E-5</v>
      </c>
      <c r="D47">
        <v>1.7635620650200001E-4</v>
      </c>
    </row>
    <row r="48" spans="1:4">
      <c r="A48">
        <v>13</v>
      </c>
      <c r="B48" s="1">
        <v>8.7017252633999993E-5</v>
      </c>
      <c r="C48" s="1">
        <v>3.5913732458400003E-5</v>
      </c>
      <c r="D48">
        <v>1.2293098509199999E-4</v>
      </c>
    </row>
    <row r="49" spans="1:4">
      <c r="A49">
        <v>14</v>
      </c>
      <c r="B49">
        <v>1.19301539696E-4</v>
      </c>
      <c r="C49" s="1">
        <v>2.9580784751399999E-5</v>
      </c>
      <c r="D49">
        <v>1.4888232444799999E-4</v>
      </c>
    </row>
    <row r="50" spans="1:4">
      <c r="A50">
        <v>15</v>
      </c>
      <c r="B50">
        <v>1.04353010598E-4</v>
      </c>
      <c r="C50" s="1">
        <v>3.2093697310300003E-5</v>
      </c>
      <c r="D50">
        <v>1.36446707909E-4</v>
      </c>
    </row>
    <row r="51" spans="1:4">
      <c r="A51">
        <v>16</v>
      </c>
      <c r="B51" s="1">
        <v>6.5089347961900002E-5</v>
      </c>
      <c r="C51" s="1">
        <v>2.8138042478700002E-5</v>
      </c>
      <c r="D51" s="1">
        <v>9.3227390440599997E-5</v>
      </c>
    </row>
    <row r="52" spans="1:4">
      <c r="A52">
        <v>17</v>
      </c>
      <c r="B52" s="1">
        <v>6.2946904123600006E-5</v>
      </c>
      <c r="C52" s="1">
        <v>3.09480930257E-5</v>
      </c>
      <c r="D52" s="1">
        <v>9.3894997149299999E-5</v>
      </c>
    </row>
    <row r="53" spans="1:4">
      <c r="A53">
        <v>18</v>
      </c>
      <c r="B53" s="1">
        <v>8.3836161769500005E-5</v>
      </c>
      <c r="C53" s="1">
        <v>3.9646617450500003E-5</v>
      </c>
      <c r="D53">
        <v>1.2348277922E-4</v>
      </c>
    </row>
    <row r="54" spans="1:4">
      <c r="A54">
        <v>19</v>
      </c>
      <c r="B54" s="1">
        <v>4.7348781304099998E-5</v>
      </c>
      <c r="C54" s="1">
        <v>2.6080308035000001E-5</v>
      </c>
      <c r="D54" s="1">
        <v>7.3429089339100006E-5</v>
      </c>
    </row>
    <row r="55" spans="1:4">
      <c r="A55">
        <v>20</v>
      </c>
      <c r="B55" s="1">
        <v>4.7500165048500003E-5</v>
      </c>
      <c r="C55" s="1">
        <v>2.4449093015400001E-5</v>
      </c>
      <c r="D55" s="1">
        <v>7.19492580639E-5</v>
      </c>
    </row>
    <row r="56" spans="1:4">
      <c r="A56">
        <v>21</v>
      </c>
      <c r="B56" s="1">
        <v>3.6783886244600002E-5</v>
      </c>
      <c r="C56" s="1">
        <v>2.2981821927199999E-5</v>
      </c>
      <c r="D56" s="1">
        <v>5.9765708171799998E-5</v>
      </c>
    </row>
    <row r="57" spans="1:4">
      <c r="A57">
        <v>22</v>
      </c>
      <c r="B57" s="1">
        <v>4.4514599496800002E-5</v>
      </c>
      <c r="C57" s="1">
        <v>2.8694130943E-5</v>
      </c>
      <c r="D57" s="1">
        <v>7.3208730439800002E-5</v>
      </c>
    </row>
    <row r="58" spans="1:4">
      <c r="A58">
        <v>23</v>
      </c>
      <c r="B58" s="1">
        <v>4.20308768637E-5</v>
      </c>
      <c r="C58" s="1">
        <v>2.0970139686900001E-5</v>
      </c>
      <c r="D58" s="1">
        <v>6.3001016550600004E-5</v>
      </c>
    </row>
    <row r="59" spans="1:4">
      <c r="A59">
        <v>24</v>
      </c>
      <c r="B59" s="1">
        <v>3.1231338011399997E-5</v>
      </c>
      <c r="C59" s="1">
        <v>2.015801576E-5</v>
      </c>
      <c r="D59" s="1">
        <v>5.13893537713E-5</v>
      </c>
    </row>
    <row r="61" spans="1:4">
      <c r="A61" t="s">
        <v>6</v>
      </c>
    </row>
    <row r="62" spans="1:4">
      <c r="A62" t="s">
        <v>7</v>
      </c>
      <c r="B62" t="s">
        <v>13</v>
      </c>
    </row>
    <row r="63" spans="1:4">
      <c r="A63">
        <v>1</v>
      </c>
      <c r="B63">
        <v>9821.7672752800008</v>
      </c>
    </row>
    <row r="64" spans="1:4">
      <c r="A64">
        <v>2</v>
      </c>
      <c r="B64">
        <v>12396.9409977</v>
      </c>
    </row>
    <row r="65" spans="1:2">
      <c r="A65">
        <v>3</v>
      </c>
      <c r="B65">
        <v>10798.6992226</v>
      </c>
    </row>
    <row r="66" spans="1:2">
      <c r="A66">
        <v>4</v>
      </c>
      <c r="B66">
        <v>14897.8151146</v>
      </c>
    </row>
    <row r="67" spans="1:2">
      <c r="A67">
        <v>5</v>
      </c>
      <c r="B67">
        <v>20420.917939800001</v>
      </c>
    </row>
    <row r="68" spans="1:2">
      <c r="A68">
        <v>6</v>
      </c>
      <c r="B68">
        <v>28033.4214517</v>
      </c>
    </row>
    <row r="69" spans="1:2">
      <c r="A69">
        <v>7</v>
      </c>
      <c r="B69">
        <v>34432.242011599999</v>
      </c>
    </row>
    <row r="70" spans="1:2">
      <c r="A70">
        <v>8</v>
      </c>
      <c r="B70">
        <v>47162.378933200001</v>
      </c>
    </row>
    <row r="71" spans="1:2">
      <c r="A71">
        <v>9</v>
      </c>
      <c r="B71">
        <v>43043.718365100001</v>
      </c>
    </row>
    <row r="72" spans="1:2">
      <c r="A72">
        <v>10</v>
      </c>
      <c r="B72">
        <v>61436.0806601</v>
      </c>
    </row>
    <row r="73" spans="1:2">
      <c r="A73">
        <v>11</v>
      </c>
      <c r="B73">
        <v>53405.312803599998</v>
      </c>
    </row>
    <row r="74" spans="1:2">
      <c r="A74">
        <v>12</v>
      </c>
      <c r="B74">
        <v>77076.7179263</v>
      </c>
    </row>
    <row r="75" spans="1:2">
      <c r="A75">
        <v>13</v>
      </c>
      <c r="B75">
        <v>114919.73944600001</v>
      </c>
    </row>
    <row r="76" spans="1:2">
      <c r="A76">
        <v>14</v>
      </c>
      <c r="B76">
        <v>83821.214927099994</v>
      </c>
    </row>
    <row r="77" spans="1:2">
      <c r="A77">
        <v>15</v>
      </c>
      <c r="B77">
        <v>95828.572100200006</v>
      </c>
    </row>
    <row r="78" spans="1:2">
      <c r="A78">
        <v>16</v>
      </c>
      <c r="B78">
        <v>153634.96966999999</v>
      </c>
    </row>
    <row r="79" spans="1:2">
      <c r="A79">
        <v>17</v>
      </c>
      <c r="B79">
        <v>158864.048029</v>
      </c>
    </row>
    <row r="80" spans="1:2">
      <c r="A80">
        <v>18</v>
      </c>
      <c r="B80">
        <v>119280.26986099999</v>
      </c>
    </row>
    <row r="81" spans="1:2">
      <c r="A81">
        <v>19</v>
      </c>
      <c r="B81">
        <v>211198.67765500001</v>
      </c>
    </row>
    <row r="82" spans="1:2">
      <c r="A82">
        <v>20</v>
      </c>
      <c r="B82">
        <v>210525.584275</v>
      </c>
    </row>
    <row r="83" spans="1:2">
      <c r="A83">
        <v>21</v>
      </c>
      <c r="B83">
        <v>271858.170002</v>
      </c>
    </row>
    <row r="84" spans="1:2">
      <c r="A84">
        <v>22</v>
      </c>
      <c r="B84">
        <v>224645.39978000001</v>
      </c>
    </row>
    <row r="85" spans="1:2">
      <c r="A85">
        <v>23</v>
      </c>
      <c r="B85">
        <v>237920.327773</v>
      </c>
    </row>
    <row r="86" spans="1:2">
      <c r="A86">
        <v>24</v>
      </c>
      <c r="B86">
        <v>320191.21295299998</v>
      </c>
    </row>
    <row r="88" spans="1:2">
      <c r="A88" t="s">
        <v>8</v>
      </c>
    </row>
    <row r="89" spans="1:2">
      <c r="A89" t="s">
        <v>7</v>
      </c>
      <c r="B89" t="s">
        <v>12</v>
      </c>
    </row>
    <row r="90" spans="1:2">
      <c r="A90">
        <v>1</v>
      </c>
      <c r="B90">
        <v>10</v>
      </c>
    </row>
    <row r="91" spans="1:2">
      <c r="A91">
        <v>2</v>
      </c>
      <c r="B91">
        <v>15</v>
      </c>
    </row>
    <row r="92" spans="1:2">
      <c r="A92">
        <v>3</v>
      </c>
      <c r="B92">
        <v>20</v>
      </c>
    </row>
    <row r="93" spans="1:2">
      <c r="A93">
        <v>4</v>
      </c>
      <c r="B93">
        <v>25</v>
      </c>
    </row>
    <row r="94" spans="1:2">
      <c r="A94">
        <v>5</v>
      </c>
      <c r="B94">
        <v>30</v>
      </c>
    </row>
    <row r="95" spans="1:2">
      <c r="A95">
        <v>6</v>
      </c>
      <c r="B95">
        <v>35</v>
      </c>
    </row>
    <row r="96" spans="1:2">
      <c r="A96">
        <v>7</v>
      </c>
      <c r="B96">
        <v>40</v>
      </c>
    </row>
    <row r="97" spans="1:2">
      <c r="A97">
        <v>8</v>
      </c>
      <c r="B97">
        <v>45</v>
      </c>
    </row>
    <row r="98" spans="1:2">
      <c r="A98">
        <v>9</v>
      </c>
      <c r="B98">
        <v>50</v>
      </c>
    </row>
    <row r="99" spans="1:2">
      <c r="A99">
        <v>10</v>
      </c>
      <c r="B99">
        <v>55</v>
      </c>
    </row>
    <row r="100" spans="1:2">
      <c r="A100">
        <v>11</v>
      </c>
      <c r="B100">
        <v>60</v>
      </c>
    </row>
    <row r="101" spans="1:2">
      <c r="A101">
        <v>12</v>
      </c>
      <c r="B101">
        <v>65</v>
      </c>
    </row>
    <row r="102" spans="1:2">
      <c r="A102">
        <v>13</v>
      </c>
      <c r="B102">
        <v>70</v>
      </c>
    </row>
    <row r="103" spans="1:2">
      <c r="A103">
        <v>14</v>
      </c>
      <c r="B103">
        <v>75</v>
      </c>
    </row>
    <row r="104" spans="1:2">
      <c r="A104">
        <v>15</v>
      </c>
      <c r="B104">
        <v>80</v>
      </c>
    </row>
    <row r="105" spans="1:2">
      <c r="A105">
        <v>16</v>
      </c>
      <c r="B105">
        <v>85</v>
      </c>
    </row>
    <row r="106" spans="1:2">
      <c r="A106">
        <v>17</v>
      </c>
      <c r="B106">
        <v>90</v>
      </c>
    </row>
    <row r="107" spans="1:2">
      <c r="A107">
        <v>18</v>
      </c>
      <c r="B107">
        <v>95</v>
      </c>
    </row>
    <row r="108" spans="1:2">
      <c r="A108">
        <v>19</v>
      </c>
      <c r="B108">
        <v>100</v>
      </c>
    </row>
    <row r="109" spans="1:2">
      <c r="A109">
        <v>20</v>
      </c>
      <c r="B109">
        <v>105</v>
      </c>
    </row>
    <row r="110" spans="1:2">
      <c r="A110">
        <v>21</v>
      </c>
      <c r="B110">
        <v>110</v>
      </c>
    </row>
    <row r="111" spans="1:2">
      <c r="A111">
        <v>22</v>
      </c>
      <c r="B111">
        <v>115</v>
      </c>
    </row>
    <row r="112" spans="1:2">
      <c r="A112">
        <v>23</v>
      </c>
      <c r="B112">
        <v>120</v>
      </c>
    </row>
    <row r="113" spans="1:2">
      <c r="A113">
        <v>24</v>
      </c>
      <c r="B113">
        <v>125</v>
      </c>
    </row>
    <row r="115" spans="1:2">
      <c r="A115" t="s">
        <v>9</v>
      </c>
    </row>
    <row r="116" spans="1:2">
      <c r="A116" t="s">
        <v>7</v>
      </c>
      <c r="B116" t="s">
        <v>10</v>
      </c>
    </row>
    <row r="117" spans="1:2">
      <c r="A117">
        <v>1</v>
      </c>
      <c r="B117">
        <v>20138.7625525</v>
      </c>
    </row>
    <row r="118" spans="1:2">
      <c r="A118">
        <v>2</v>
      </c>
      <c r="B118">
        <v>15818.724221799999</v>
      </c>
    </row>
    <row r="119" spans="1:2">
      <c r="A119">
        <v>3</v>
      </c>
      <c r="B119">
        <v>12528.156843700001</v>
      </c>
    </row>
    <row r="120" spans="1:2">
      <c r="A120">
        <v>4</v>
      </c>
      <c r="B120">
        <v>10000</v>
      </c>
    </row>
    <row r="121" spans="1:2">
      <c r="A121">
        <v>5</v>
      </c>
      <c r="B121">
        <v>8041.5880165899998</v>
      </c>
    </row>
    <row r="122" spans="1:2">
      <c r="A122">
        <v>6</v>
      </c>
      <c r="B122">
        <v>6512.6158372600003</v>
      </c>
    </row>
    <row r="123" spans="1:2">
      <c r="A123">
        <v>7</v>
      </c>
      <c r="B123">
        <v>5309.9909683699998</v>
      </c>
    </row>
    <row r="124" spans="1:2">
      <c r="A124">
        <v>8</v>
      </c>
      <c r="B124">
        <v>4357.3143498500003</v>
      </c>
    </row>
    <row r="125" spans="1:2">
      <c r="A125">
        <v>9</v>
      </c>
      <c r="B125">
        <v>3597.5052267900001</v>
      </c>
    </row>
    <row r="126" spans="1:2">
      <c r="A126">
        <v>10</v>
      </c>
      <c r="B126">
        <v>2987.5826778199998</v>
      </c>
    </row>
    <row r="127" spans="1:2">
      <c r="A127">
        <v>11</v>
      </c>
      <c r="B127">
        <v>2494.94059143</v>
      </c>
    </row>
    <row r="128" spans="1:2">
      <c r="A128">
        <v>12</v>
      </c>
      <c r="B128">
        <v>2094.66624546</v>
      </c>
    </row>
    <row r="129" spans="1:2">
      <c r="A129">
        <v>13</v>
      </c>
      <c r="B129">
        <v>1767.5945050800001</v>
      </c>
    </row>
    <row r="130" spans="1:2">
      <c r="A130">
        <v>14</v>
      </c>
      <c r="B130">
        <v>1498.88488306</v>
      </c>
    </row>
    <row r="131" spans="1:2">
      <c r="A131">
        <v>15</v>
      </c>
      <c r="B131">
        <v>1276.9732216499999</v>
      </c>
    </row>
    <row r="132" spans="1:2">
      <c r="A132">
        <v>16</v>
      </c>
      <c r="B132">
        <v>1092.7938526800001</v>
      </c>
    </row>
    <row r="133" spans="1:2">
      <c r="A133">
        <v>17</v>
      </c>
      <c r="B133">
        <v>939.19848931599995</v>
      </c>
    </row>
    <row r="134" spans="1:2">
      <c r="A134">
        <v>18</v>
      </c>
      <c r="B134">
        <v>810.51922855999999</v>
      </c>
    </row>
    <row r="135" spans="1:2">
      <c r="A135">
        <v>19</v>
      </c>
      <c r="B135">
        <v>702.23784105100003</v>
      </c>
    </row>
    <row r="136" spans="1:2">
      <c r="A136">
        <v>20</v>
      </c>
      <c r="B136">
        <v>610.73396850799998</v>
      </c>
    </row>
    <row r="137" spans="1:2">
      <c r="A137">
        <v>21</v>
      </c>
      <c r="B137">
        <v>533.09227392299999</v>
      </c>
    </row>
    <row r="138" spans="1:2">
      <c r="A138">
        <v>22</v>
      </c>
      <c r="B138">
        <v>466.95390538700002</v>
      </c>
    </row>
    <row r="139" spans="1:2">
      <c r="A139">
        <v>23</v>
      </c>
      <c r="B139">
        <v>410.401466035</v>
      </c>
    </row>
    <row r="140" spans="1:2">
      <c r="A140">
        <v>24</v>
      </c>
      <c r="B140">
        <v>361.86946251099999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6426-0B01-4CE5-81C9-FB2422657458}">
  <dimension ref="A1:L149"/>
  <sheetViews>
    <sheetView zoomScale="74" zoomScaleNormal="70" workbookViewId="0">
      <selection activeCell="L43" sqref="L43"/>
    </sheetView>
  </sheetViews>
  <sheetFormatPr defaultRowHeight="15"/>
  <sheetData>
    <row r="1" spans="1:9" ht="14.45">
      <c r="A1" t="s">
        <v>43</v>
      </c>
    </row>
    <row r="2" spans="1:9" ht="14.45">
      <c r="A2" t="s">
        <v>44</v>
      </c>
    </row>
    <row r="3" spans="1:9" ht="14.45">
      <c r="A3" t="s">
        <v>45</v>
      </c>
    </row>
    <row r="4" spans="1:9" ht="14.45">
      <c r="A4" t="s">
        <v>46</v>
      </c>
      <c r="F4" t="s">
        <v>47</v>
      </c>
      <c r="G4" t="s">
        <v>2</v>
      </c>
      <c r="H4" t="s">
        <v>1</v>
      </c>
      <c r="I4" t="s">
        <v>48</v>
      </c>
    </row>
    <row r="5" spans="1:9" ht="14.45">
      <c r="A5" t="s">
        <v>49</v>
      </c>
      <c r="F5">
        <f>B99</f>
        <v>10</v>
      </c>
      <c r="G5">
        <f>B72</f>
        <v>10361.9822566</v>
      </c>
      <c r="H5">
        <f>B126</f>
        <v>20138.7625525</v>
      </c>
      <c r="I5">
        <f>B45/10</f>
        <v>9.6506631186300004E-5</v>
      </c>
    </row>
    <row r="6" spans="1:9" ht="14.45">
      <c r="A6" t="s">
        <v>50</v>
      </c>
      <c r="F6">
        <f t="shared" ref="F6:F28" si="0">B100</f>
        <v>15</v>
      </c>
      <c r="G6">
        <f t="shared" ref="G6:G28" si="1">B73</f>
        <v>13057.123244500001</v>
      </c>
      <c r="H6">
        <f t="shared" ref="H6:H28" si="2">B127</f>
        <v>15818.724221799999</v>
      </c>
      <c r="I6">
        <f t="shared" ref="I6:I28" si="3">B46/10</f>
        <v>7.6586548297900004E-5</v>
      </c>
    </row>
    <row r="7" spans="1:9" ht="14.45">
      <c r="A7" t="s">
        <v>51</v>
      </c>
      <c r="F7">
        <f t="shared" si="0"/>
        <v>20</v>
      </c>
      <c r="G7">
        <f t="shared" si="1"/>
        <v>16282.9082456</v>
      </c>
      <c r="H7">
        <f t="shared" si="2"/>
        <v>12528.156843700001</v>
      </c>
      <c r="I7">
        <f t="shared" si="3"/>
        <v>6.1414090463299996E-5</v>
      </c>
    </row>
    <row r="8" spans="1:9" ht="14.45">
      <c r="A8" t="s">
        <v>52</v>
      </c>
      <c r="F8">
        <f t="shared" si="0"/>
        <v>25</v>
      </c>
      <c r="G8">
        <f t="shared" si="1"/>
        <v>20096.671972700002</v>
      </c>
      <c r="H8">
        <f t="shared" si="2"/>
        <v>10000</v>
      </c>
      <c r="I8">
        <f t="shared" si="3"/>
        <v>4.9759482632599998E-5</v>
      </c>
    </row>
    <row r="9" spans="1:9" ht="14.45">
      <c r="A9" t="s">
        <v>53</v>
      </c>
      <c r="F9">
        <f t="shared" si="0"/>
        <v>30</v>
      </c>
      <c r="G9">
        <f t="shared" si="1"/>
        <v>24553.524991300001</v>
      </c>
      <c r="H9">
        <f t="shared" si="2"/>
        <v>8041.5880165899998</v>
      </c>
      <c r="I9">
        <f t="shared" si="3"/>
        <v>4.07273497534E-5</v>
      </c>
    </row>
    <row r="10" spans="1:9" ht="14.45">
      <c r="A10" t="s">
        <v>54</v>
      </c>
      <c r="F10">
        <f t="shared" si="0"/>
        <v>35</v>
      </c>
      <c r="G10">
        <f t="shared" si="1"/>
        <v>29692.668715299998</v>
      </c>
      <c r="H10">
        <f t="shared" si="2"/>
        <v>6512.6158372600003</v>
      </c>
      <c r="I10">
        <f t="shared" si="3"/>
        <v>3.3678346988199999E-5</v>
      </c>
    </row>
    <row r="11" spans="1:9" ht="14.45">
      <c r="A11" t="s">
        <v>11</v>
      </c>
      <c r="F11">
        <f t="shared" si="0"/>
        <v>40</v>
      </c>
      <c r="G11">
        <f t="shared" si="1"/>
        <v>35545.793485200003</v>
      </c>
      <c r="H11">
        <f t="shared" si="2"/>
        <v>5309.9909683699998</v>
      </c>
      <c r="I11">
        <f t="shared" si="3"/>
        <v>2.81327240709E-5</v>
      </c>
    </row>
    <row r="12" spans="1:9" ht="14.45">
      <c r="A12" t="s">
        <v>14</v>
      </c>
      <c r="F12">
        <f t="shared" si="0"/>
        <v>45</v>
      </c>
      <c r="G12">
        <f t="shared" si="1"/>
        <v>42129.0308114</v>
      </c>
      <c r="H12">
        <f t="shared" si="2"/>
        <v>4357.3143498500003</v>
      </c>
      <c r="I12">
        <f t="shared" si="3"/>
        <v>2.3736601121299999E-5</v>
      </c>
    </row>
    <row r="13" spans="1:9" ht="14.45">
      <c r="A13" t="s">
        <v>15</v>
      </c>
      <c r="F13">
        <f t="shared" si="0"/>
        <v>50</v>
      </c>
      <c r="G13">
        <f t="shared" si="1"/>
        <v>49414.3430696</v>
      </c>
      <c r="H13">
        <f t="shared" si="2"/>
        <v>3597.5052267900001</v>
      </c>
      <c r="I13">
        <f t="shared" si="3"/>
        <v>2.0237039245700002E-5</v>
      </c>
    </row>
    <row r="14" spans="1:9" ht="14.45">
      <c r="A14" t="s">
        <v>16</v>
      </c>
      <c r="F14">
        <f t="shared" si="0"/>
        <v>55</v>
      </c>
      <c r="G14">
        <f t="shared" si="1"/>
        <v>57405.926445999998</v>
      </c>
      <c r="H14">
        <f t="shared" si="2"/>
        <v>2987.5826778199998</v>
      </c>
      <c r="I14">
        <f t="shared" si="3"/>
        <v>1.7419804224199999E-5</v>
      </c>
    </row>
    <row r="15" spans="1:9" ht="14.45">
      <c r="A15" t="s">
        <v>17</v>
      </c>
      <c r="F15">
        <f t="shared" si="0"/>
        <v>60</v>
      </c>
      <c r="G15">
        <f t="shared" si="1"/>
        <v>66040.731762299998</v>
      </c>
      <c r="H15">
        <f t="shared" si="2"/>
        <v>2494.94059143</v>
      </c>
      <c r="I15">
        <f t="shared" si="3"/>
        <v>1.51421701928E-5</v>
      </c>
    </row>
    <row r="16" spans="1:9" ht="14.45">
      <c r="A16" t="s">
        <v>18</v>
      </c>
      <c r="F16">
        <f t="shared" si="0"/>
        <v>65</v>
      </c>
      <c r="G16">
        <f t="shared" si="1"/>
        <v>75216.885311999999</v>
      </c>
      <c r="H16">
        <f t="shared" si="2"/>
        <v>2094.66624546</v>
      </c>
      <c r="I16">
        <f t="shared" si="3"/>
        <v>1.3294887123400002E-5</v>
      </c>
    </row>
    <row r="17" spans="1:9" ht="14.45">
      <c r="A17" t="s">
        <v>19</v>
      </c>
      <c r="F17">
        <f t="shared" si="0"/>
        <v>70</v>
      </c>
      <c r="G17">
        <f t="shared" si="1"/>
        <v>84935.449334000004</v>
      </c>
      <c r="H17">
        <f t="shared" si="2"/>
        <v>1767.5945050800001</v>
      </c>
      <c r="I17">
        <f t="shared" si="3"/>
        <v>1.17736470207E-5</v>
      </c>
    </row>
    <row r="18" spans="1:9" ht="14.45">
      <c r="A18" t="s">
        <v>20</v>
      </c>
      <c r="F18">
        <f t="shared" si="0"/>
        <v>75</v>
      </c>
      <c r="G18">
        <f t="shared" si="1"/>
        <v>95193.756923299996</v>
      </c>
      <c r="H18">
        <f t="shared" si="2"/>
        <v>1498.88488306</v>
      </c>
      <c r="I18">
        <f t="shared" si="3"/>
        <v>1.0504890576E-5</v>
      </c>
    </row>
    <row r="19" spans="1:9" ht="14.45">
      <c r="A19" t="s">
        <v>21</v>
      </c>
      <c r="F19">
        <f t="shared" si="0"/>
        <v>80</v>
      </c>
      <c r="G19">
        <f t="shared" si="1"/>
        <v>105339.550241</v>
      </c>
      <c r="H19">
        <f t="shared" si="2"/>
        <v>1276.9732216499999</v>
      </c>
      <c r="I19">
        <f t="shared" si="3"/>
        <v>9.4931105906100004E-6</v>
      </c>
    </row>
    <row r="20" spans="1:9" ht="14.45">
      <c r="A20" t="s">
        <v>22</v>
      </c>
      <c r="F20">
        <f t="shared" si="0"/>
        <v>85</v>
      </c>
      <c r="G20">
        <f t="shared" si="1"/>
        <v>116104.81797</v>
      </c>
      <c r="H20">
        <f t="shared" si="2"/>
        <v>1092.7938526800001</v>
      </c>
      <c r="I20">
        <f t="shared" si="3"/>
        <v>8.6129070049100003E-6</v>
      </c>
    </row>
    <row r="21" spans="1:9" ht="14.45">
      <c r="A21" t="s">
        <v>23</v>
      </c>
      <c r="F21">
        <f t="shared" si="0"/>
        <v>90</v>
      </c>
      <c r="G21">
        <f t="shared" si="1"/>
        <v>127257.147566</v>
      </c>
      <c r="H21">
        <f t="shared" si="2"/>
        <v>939.19848931599995</v>
      </c>
      <c r="I21">
        <f t="shared" si="3"/>
        <v>7.8581047833200009E-6</v>
      </c>
    </row>
    <row r="22" spans="1:9" ht="14.45">
      <c r="A22" t="s">
        <v>24</v>
      </c>
      <c r="F22">
        <f t="shared" si="0"/>
        <v>95</v>
      </c>
      <c r="G22">
        <f t="shared" si="1"/>
        <v>138720.232705</v>
      </c>
      <c r="H22">
        <f t="shared" si="2"/>
        <v>810.51922855999999</v>
      </c>
      <c r="I22">
        <f t="shared" si="3"/>
        <v>7.2087537664999999E-6</v>
      </c>
    </row>
    <row r="23" spans="1:9" ht="14.45">
      <c r="A23" t="s">
        <v>25</v>
      </c>
      <c r="F23">
        <f t="shared" si="0"/>
        <v>100</v>
      </c>
      <c r="G23">
        <f t="shared" si="1"/>
        <v>148119.53318</v>
      </c>
      <c r="H23">
        <f t="shared" si="2"/>
        <v>702.23784105100003</v>
      </c>
      <c r="I23">
        <f t="shared" si="3"/>
        <v>6.7513040213500001E-6</v>
      </c>
    </row>
    <row r="24" spans="1:9" ht="14.45">
      <c r="A24" t="s">
        <v>26</v>
      </c>
      <c r="F24">
        <f t="shared" si="0"/>
        <v>105</v>
      </c>
      <c r="G24">
        <f t="shared" si="1"/>
        <v>159173.43251099999</v>
      </c>
      <c r="H24">
        <f t="shared" si="2"/>
        <v>610.73396850799998</v>
      </c>
      <c r="I24">
        <f t="shared" si="3"/>
        <v>6.2824554589700005E-6</v>
      </c>
    </row>
    <row r="25" spans="1:9" ht="14.45">
      <c r="A25" t="s">
        <v>27</v>
      </c>
      <c r="F25">
        <f t="shared" si="0"/>
        <v>110</v>
      </c>
      <c r="G25">
        <f t="shared" si="1"/>
        <v>170381.464305</v>
      </c>
      <c r="H25">
        <f t="shared" si="2"/>
        <v>533.09227392299999</v>
      </c>
      <c r="I25">
        <f t="shared" si="3"/>
        <v>5.8691830363E-6</v>
      </c>
    </row>
    <row r="26" spans="1:9" ht="14.45">
      <c r="A26" t="s">
        <v>28</v>
      </c>
      <c r="F26">
        <f t="shared" si="0"/>
        <v>115</v>
      </c>
      <c r="G26">
        <f t="shared" si="1"/>
        <v>181517.46411299999</v>
      </c>
      <c r="H26">
        <f t="shared" si="2"/>
        <v>466.95390538700002</v>
      </c>
      <c r="I26">
        <f t="shared" si="3"/>
        <v>5.5091117809799996E-6</v>
      </c>
    </row>
    <row r="27" spans="1:9" ht="14.45">
      <c r="A27" t="s">
        <v>29</v>
      </c>
      <c r="F27">
        <f t="shared" si="0"/>
        <v>120</v>
      </c>
      <c r="G27">
        <f t="shared" si="1"/>
        <v>188086.01242899999</v>
      </c>
      <c r="H27">
        <f t="shared" si="2"/>
        <v>410.401466035</v>
      </c>
      <c r="I27">
        <f t="shared" si="3"/>
        <v>5.3167164697000005E-6</v>
      </c>
    </row>
    <row r="28" spans="1:9" ht="14.45">
      <c r="A28" t="s">
        <v>30</v>
      </c>
      <c r="F28">
        <f t="shared" si="0"/>
        <v>125</v>
      </c>
      <c r="G28">
        <f t="shared" si="1"/>
        <v>198160.18936600001</v>
      </c>
      <c r="H28">
        <f t="shared" si="2"/>
        <v>361.86946251099999</v>
      </c>
      <c r="I28">
        <f t="shared" si="3"/>
        <v>5.0464223071100001E-6</v>
      </c>
    </row>
    <row r="29" spans="1:9" ht="14.45">
      <c r="A29" t="s">
        <v>31</v>
      </c>
    </row>
    <row r="30" spans="1:9" ht="14.45">
      <c r="A30" t="s">
        <v>32</v>
      </c>
    </row>
    <row r="31" spans="1:9" ht="14.45">
      <c r="A31" t="s">
        <v>33</v>
      </c>
    </row>
    <row r="32" spans="1:9" ht="14.45">
      <c r="A32" t="s">
        <v>34</v>
      </c>
    </row>
    <row r="33" spans="1:12" ht="14.45">
      <c r="A33" t="s">
        <v>35</v>
      </c>
    </row>
    <row r="34" spans="1:12" ht="14.45">
      <c r="A34" t="s">
        <v>36</v>
      </c>
    </row>
    <row r="35" spans="1:12" ht="14.45">
      <c r="A35" t="s">
        <v>55</v>
      </c>
    </row>
    <row r="37" spans="1:12" ht="14.45">
      <c r="A37" t="s">
        <v>38</v>
      </c>
    </row>
    <row r="38" spans="1:12" ht="14.45">
      <c r="A38" t="s">
        <v>39</v>
      </c>
    </row>
    <row r="39" spans="1:12" ht="14.45">
      <c r="A39" t="s">
        <v>40</v>
      </c>
    </row>
    <row r="40" spans="1:12" ht="14.45">
      <c r="A40" t="s">
        <v>41</v>
      </c>
    </row>
    <row r="42" spans="1:12">
      <c r="L42" t="s">
        <v>56</v>
      </c>
    </row>
    <row r="43" spans="1:12" ht="14.45">
      <c r="A43" t="s">
        <v>42</v>
      </c>
    </row>
    <row r="44" spans="1:12" ht="14.45">
      <c r="A44" t="s">
        <v>7</v>
      </c>
      <c r="B44" t="s">
        <v>3</v>
      </c>
      <c r="C44" t="s">
        <v>4</v>
      </c>
      <c r="D44" t="s">
        <v>5</v>
      </c>
    </row>
    <row r="45" spans="1:12" ht="14.45">
      <c r="A45">
        <v>1</v>
      </c>
      <c r="B45">
        <v>9.6506631186300004E-4</v>
      </c>
      <c r="C45">
        <v>4.2479602703699999E-4</v>
      </c>
      <c r="D45">
        <v>1.3898623389E-3</v>
      </c>
    </row>
    <row r="46" spans="1:12" ht="14.45">
      <c r="A46">
        <v>2</v>
      </c>
      <c r="B46">
        <v>7.6586548297900001E-4</v>
      </c>
      <c r="C46">
        <v>3.3892074981900001E-4</v>
      </c>
      <c r="D46">
        <v>1.1047862327999999E-3</v>
      </c>
    </row>
    <row r="47" spans="1:12" ht="14.45">
      <c r="A47">
        <v>3</v>
      </c>
      <c r="B47">
        <v>6.1414090463300002E-4</v>
      </c>
      <c r="C47">
        <v>2.7291472285699998E-4</v>
      </c>
      <c r="D47">
        <v>8.8705562749000005E-4</v>
      </c>
    </row>
    <row r="48" spans="1:12" ht="14.45">
      <c r="A48">
        <v>4</v>
      </c>
      <c r="B48">
        <v>4.97594826326E-4</v>
      </c>
      <c r="C48">
        <v>2.21301195949E-4</v>
      </c>
      <c r="D48">
        <v>7.18896022275E-4</v>
      </c>
    </row>
    <row r="49" spans="1:4" ht="14.45">
      <c r="A49">
        <v>5</v>
      </c>
      <c r="B49">
        <v>4.0727349753399999E-4</v>
      </c>
      <c r="C49">
        <v>1.8009556220800001E-4</v>
      </c>
      <c r="D49">
        <v>5.8736905974299996E-4</v>
      </c>
    </row>
    <row r="50" spans="1:4" ht="14.45">
      <c r="A50">
        <v>6</v>
      </c>
      <c r="B50">
        <v>3.3678346988200001E-4</v>
      </c>
      <c r="C50">
        <v>1.4618530253699999E-4</v>
      </c>
      <c r="D50">
        <v>4.8296877241800002E-4</v>
      </c>
    </row>
    <row r="51" spans="1:4" ht="14.45">
      <c r="A51">
        <v>7</v>
      </c>
      <c r="B51">
        <v>2.8132724070899999E-4</v>
      </c>
      <c r="C51" s="1">
        <v>1.16311957072E-4</v>
      </c>
      <c r="D51">
        <v>3.97639197781E-4</v>
      </c>
    </row>
    <row r="52" spans="1:4" ht="14.45">
      <c r="A52">
        <v>8</v>
      </c>
      <c r="B52">
        <v>2.3736601121299999E-4</v>
      </c>
      <c r="C52" s="1">
        <v>1.0868821642400001E-4</v>
      </c>
      <c r="D52">
        <v>3.4605422763700001E-4</v>
      </c>
    </row>
    <row r="53" spans="1:4" ht="14.45">
      <c r="A53">
        <v>9</v>
      </c>
      <c r="B53">
        <v>2.0237039245700001E-4</v>
      </c>
      <c r="C53" s="1">
        <v>8.0506082977499998E-5</v>
      </c>
      <c r="D53">
        <v>2.82876475434E-4</v>
      </c>
    </row>
    <row r="54" spans="1:4" ht="14.45">
      <c r="A54">
        <v>10</v>
      </c>
      <c r="B54">
        <v>1.7419804224199999E-4</v>
      </c>
      <c r="C54" s="1">
        <v>7.8336634207300002E-5</v>
      </c>
      <c r="D54">
        <v>2.5253467645000002E-4</v>
      </c>
    </row>
    <row r="55" spans="1:4" ht="14.45">
      <c r="A55">
        <v>11</v>
      </c>
      <c r="B55">
        <v>1.5142170192799999E-4</v>
      </c>
      <c r="C55" s="1">
        <v>6.2123529190200003E-5</v>
      </c>
      <c r="D55">
        <v>2.13545231118E-4</v>
      </c>
    </row>
    <row r="56" spans="1:4" ht="14.45">
      <c r="A56">
        <v>12</v>
      </c>
      <c r="B56">
        <v>1.3294887123400001E-4</v>
      </c>
      <c r="C56" s="1">
        <v>6.3298068584400003E-5</v>
      </c>
      <c r="D56">
        <v>1.9624693981900001E-4</v>
      </c>
    </row>
    <row r="57" spans="1:4" ht="14.45">
      <c r="A57">
        <v>13</v>
      </c>
      <c r="B57" s="1">
        <v>1.17736470207E-4</v>
      </c>
      <c r="C57" s="1">
        <v>5.2752312981300001E-5</v>
      </c>
      <c r="D57">
        <v>1.7048878318799999E-4</v>
      </c>
    </row>
    <row r="58" spans="1:4" ht="14.45">
      <c r="A58">
        <v>14</v>
      </c>
      <c r="B58" s="1">
        <v>1.0504890576E-4</v>
      </c>
      <c r="C58" s="1">
        <v>4.45515958013E-5</v>
      </c>
      <c r="D58">
        <v>1.49600501562E-4</v>
      </c>
    </row>
    <row r="59" spans="1:4" ht="14.45">
      <c r="A59">
        <v>15</v>
      </c>
      <c r="B59" s="1">
        <v>9.4931105906100001E-5</v>
      </c>
      <c r="C59" s="1">
        <v>4.7354938927400003E-5</v>
      </c>
      <c r="D59">
        <v>1.4228604483300001E-4</v>
      </c>
    </row>
    <row r="60" spans="1:4" ht="14.45">
      <c r="A60">
        <v>16</v>
      </c>
      <c r="B60" s="1">
        <v>8.6129070049099999E-5</v>
      </c>
      <c r="C60" s="1">
        <v>4.1385298070800001E-5</v>
      </c>
      <c r="D60" s="1">
        <v>1.2751436811999999E-4</v>
      </c>
    </row>
    <row r="61" spans="1:4" ht="14.45">
      <c r="A61">
        <v>17</v>
      </c>
      <c r="B61" s="1">
        <v>7.8581047833200005E-5</v>
      </c>
      <c r="C61" s="1">
        <v>3.6599842972100001E-5</v>
      </c>
      <c r="D61" s="1">
        <v>1.15180890805E-4</v>
      </c>
    </row>
    <row r="62" spans="1:4" ht="14.45">
      <c r="A62">
        <v>18</v>
      </c>
      <c r="B62" s="1">
        <v>7.2087537664999995E-5</v>
      </c>
      <c r="C62" s="1">
        <v>3.2841162771200001E-5</v>
      </c>
      <c r="D62" s="1">
        <v>1.0492870043599999E-4</v>
      </c>
    </row>
    <row r="63" spans="1:4" ht="14.45">
      <c r="A63">
        <v>19</v>
      </c>
      <c r="B63" s="1">
        <v>6.7513040213499999E-5</v>
      </c>
      <c r="C63" s="1">
        <v>3.5618568970699999E-5</v>
      </c>
      <c r="D63" s="1">
        <v>1.03131609184E-4</v>
      </c>
    </row>
    <row r="64" spans="1:4" ht="14.45">
      <c r="A64">
        <v>20</v>
      </c>
      <c r="B64" s="1">
        <v>6.2824554589700003E-5</v>
      </c>
      <c r="C64" s="1">
        <v>3.2543125669199998E-5</v>
      </c>
      <c r="D64" s="1">
        <v>9.5367680258900002E-5</v>
      </c>
    </row>
    <row r="65" spans="1:4" ht="14.45">
      <c r="A65">
        <v>21</v>
      </c>
      <c r="B65" s="1">
        <v>5.8691830363000003E-5</v>
      </c>
      <c r="C65" s="1">
        <v>3.0048026472000001E-5</v>
      </c>
      <c r="D65" s="1">
        <v>8.8739856834999997E-5</v>
      </c>
    </row>
    <row r="66" spans="1:4" ht="14.45">
      <c r="A66">
        <v>22</v>
      </c>
      <c r="B66" s="1">
        <v>5.50911178098E-5</v>
      </c>
      <c r="C66" s="1">
        <v>2.79912356564E-5</v>
      </c>
      <c r="D66" s="1">
        <v>8.3082353466199996E-5</v>
      </c>
    </row>
    <row r="67" spans="1:4" ht="14.45">
      <c r="A67">
        <v>23</v>
      </c>
      <c r="B67" s="1">
        <v>5.3167164697000003E-5</v>
      </c>
      <c r="C67" s="1">
        <v>3.0552689164900001E-5</v>
      </c>
      <c r="D67" s="1">
        <v>8.3719853861799994E-5</v>
      </c>
    </row>
    <row r="68" spans="1:4" ht="14.45">
      <c r="A68">
        <v>24</v>
      </c>
      <c r="B68" s="1">
        <v>5.04642230711E-5</v>
      </c>
      <c r="C68" s="1">
        <v>2.8770160870100001E-5</v>
      </c>
      <c r="D68" s="1">
        <v>7.9234383941199994E-5</v>
      </c>
    </row>
    <row r="70" spans="1:4" ht="14.45">
      <c r="A70" t="s">
        <v>6</v>
      </c>
    </row>
    <row r="71" spans="1:4" ht="14.45">
      <c r="A71" t="s">
        <v>7</v>
      </c>
      <c r="B71" s="2" t="s">
        <v>57</v>
      </c>
    </row>
    <row r="72" spans="1:4" ht="14.45">
      <c r="A72">
        <v>1</v>
      </c>
      <c r="B72">
        <v>10361.9822566</v>
      </c>
    </row>
    <row r="73" spans="1:4" ht="14.45">
      <c r="A73">
        <v>2</v>
      </c>
      <c r="B73">
        <v>13057.123244500001</v>
      </c>
    </row>
    <row r="74" spans="1:4" ht="14.45">
      <c r="A74">
        <v>3</v>
      </c>
      <c r="B74">
        <v>16282.9082456</v>
      </c>
    </row>
    <row r="75" spans="1:4" ht="14.45">
      <c r="A75">
        <v>4</v>
      </c>
      <c r="B75">
        <v>20096.671972700002</v>
      </c>
    </row>
    <row r="76" spans="1:4" ht="14.45">
      <c r="A76">
        <v>5</v>
      </c>
      <c r="B76">
        <v>24553.524991300001</v>
      </c>
    </row>
    <row r="77" spans="1:4" ht="14.45">
      <c r="A77">
        <v>6</v>
      </c>
      <c r="B77">
        <v>29692.668715299998</v>
      </c>
    </row>
    <row r="78" spans="1:4" ht="14.45">
      <c r="A78">
        <v>7</v>
      </c>
      <c r="B78">
        <v>35545.793485200003</v>
      </c>
    </row>
    <row r="79" spans="1:4" ht="14.45">
      <c r="A79">
        <v>8</v>
      </c>
      <c r="B79">
        <v>42129.0308114</v>
      </c>
    </row>
    <row r="80" spans="1:4" ht="14.45">
      <c r="A80">
        <v>9</v>
      </c>
      <c r="B80">
        <v>49414.3430696</v>
      </c>
    </row>
    <row r="81" spans="1:2" ht="14.45">
      <c r="A81">
        <v>10</v>
      </c>
      <c r="B81">
        <v>57405.926445999998</v>
      </c>
    </row>
    <row r="82" spans="1:2" ht="14.45">
      <c r="A82">
        <v>11</v>
      </c>
      <c r="B82">
        <v>66040.731762299998</v>
      </c>
    </row>
    <row r="83" spans="1:2" ht="14.45">
      <c r="A83">
        <v>12</v>
      </c>
      <c r="B83">
        <v>75216.885311999999</v>
      </c>
    </row>
    <row r="84" spans="1:2" ht="14.45">
      <c r="A84">
        <v>13</v>
      </c>
      <c r="B84">
        <v>84935.449334000004</v>
      </c>
    </row>
    <row r="85" spans="1:2" ht="14.45">
      <c r="A85">
        <v>14</v>
      </c>
      <c r="B85">
        <v>95193.756923299996</v>
      </c>
    </row>
    <row r="86" spans="1:2" ht="14.45">
      <c r="A86">
        <v>15</v>
      </c>
      <c r="B86">
        <v>105339.550241</v>
      </c>
    </row>
    <row r="87" spans="1:2" ht="14.45">
      <c r="A87">
        <v>16</v>
      </c>
      <c r="B87">
        <v>116104.81797</v>
      </c>
    </row>
    <row r="88" spans="1:2" ht="14.45">
      <c r="A88">
        <v>17</v>
      </c>
      <c r="B88">
        <v>127257.147566</v>
      </c>
    </row>
    <row r="89" spans="1:2" ht="14.45">
      <c r="A89">
        <v>18</v>
      </c>
      <c r="B89">
        <v>138720.232705</v>
      </c>
    </row>
    <row r="90" spans="1:2" ht="14.45">
      <c r="A90">
        <v>19</v>
      </c>
      <c r="B90">
        <v>148119.53318</v>
      </c>
    </row>
    <row r="91" spans="1:2" ht="14.45">
      <c r="A91">
        <v>20</v>
      </c>
      <c r="B91">
        <v>159173.43251099999</v>
      </c>
    </row>
    <row r="92" spans="1:2" ht="14.45">
      <c r="A92">
        <v>21</v>
      </c>
      <c r="B92">
        <v>170381.464305</v>
      </c>
    </row>
    <row r="93" spans="1:2" ht="14.45">
      <c r="A93">
        <v>22</v>
      </c>
      <c r="B93">
        <v>181517.46411299999</v>
      </c>
    </row>
    <row r="94" spans="1:2" ht="14.45">
      <c r="A94">
        <v>23</v>
      </c>
      <c r="B94">
        <v>188086.01242899999</v>
      </c>
    </row>
    <row r="95" spans="1:2" ht="14.45">
      <c r="A95">
        <v>24</v>
      </c>
      <c r="B95">
        <v>198160.18936600001</v>
      </c>
    </row>
    <row r="97" spans="1:2" ht="14.45">
      <c r="A97" t="s">
        <v>8</v>
      </c>
    </row>
    <row r="98" spans="1:2" ht="14.45">
      <c r="A98" t="s">
        <v>7</v>
      </c>
      <c r="B98" s="2" t="s">
        <v>58</v>
      </c>
    </row>
    <row r="99" spans="1:2" ht="14.45">
      <c r="A99">
        <v>1</v>
      </c>
      <c r="B99">
        <v>10</v>
      </c>
    </row>
    <row r="100" spans="1:2" ht="14.45">
      <c r="A100">
        <v>2</v>
      </c>
      <c r="B100">
        <v>15</v>
      </c>
    </row>
    <row r="101" spans="1:2" ht="14.45">
      <c r="A101">
        <v>3</v>
      </c>
      <c r="B101">
        <v>20</v>
      </c>
    </row>
    <row r="102" spans="1:2" ht="14.45">
      <c r="A102">
        <v>4</v>
      </c>
      <c r="B102">
        <v>25</v>
      </c>
    </row>
    <row r="103" spans="1:2" ht="14.45">
      <c r="A103">
        <v>5</v>
      </c>
      <c r="B103">
        <v>30</v>
      </c>
    </row>
    <row r="104" spans="1:2" ht="14.45">
      <c r="A104">
        <v>6</v>
      </c>
      <c r="B104">
        <v>35</v>
      </c>
    </row>
    <row r="105" spans="1:2" ht="14.45">
      <c r="A105">
        <v>7</v>
      </c>
      <c r="B105">
        <v>40</v>
      </c>
    </row>
    <row r="106" spans="1:2" ht="14.45">
      <c r="A106">
        <v>8</v>
      </c>
      <c r="B106">
        <v>45</v>
      </c>
    </row>
    <row r="107" spans="1:2" ht="14.45">
      <c r="A107">
        <v>9</v>
      </c>
      <c r="B107">
        <v>50</v>
      </c>
    </row>
    <row r="108" spans="1:2" ht="14.45">
      <c r="A108">
        <v>10</v>
      </c>
      <c r="B108">
        <v>55</v>
      </c>
    </row>
    <row r="109" spans="1:2" ht="14.45">
      <c r="A109">
        <v>11</v>
      </c>
      <c r="B109">
        <v>60</v>
      </c>
    </row>
    <row r="110" spans="1:2" ht="14.45">
      <c r="A110">
        <v>12</v>
      </c>
      <c r="B110">
        <v>65</v>
      </c>
    </row>
    <row r="111" spans="1:2" ht="14.45">
      <c r="A111">
        <v>13</v>
      </c>
      <c r="B111">
        <v>70</v>
      </c>
    </row>
    <row r="112" spans="1:2" ht="14.45">
      <c r="A112">
        <v>14</v>
      </c>
      <c r="B112">
        <v>75</v>
      </c>
    </row>
    <row r="113" spans="1:2" ht="14.45">
      <c r="A113">
        <v>15</v>
      </c>
      <c r="B113">
        <v>80</v>
      </c>
    </row>
    <row r="114" spans="1:2" ht="14.45">
      <c r="A114">
        <v>16</v>
      </c>
      <c r="B114">
        <v>85</v>
      </c>
    </row>
    <row r="115" spans="1:2" ht="14.45">
      <c r="A115">
        <v>17</v>
      </c>
      <c r="B115">
        <v>90</v>
      </c>
    </row>
    <row r="116" spans="1:2" ht="14.45">
      <c r="A116">
        <v>18</v>
      </c>
      <c r="B116">
        <v>95</v>
      </c>
    </row>
    <row r="117" spans="1:2" ht="14.45">
      <c r="A117">
        <v>19</v>
      </c>
      <c r="B117">
        <v>100</v>
      </c>
    </row>
    <row r="118" spans="1:2" ht="14.45">
      <c r="A118">
        <v>20</v>
      </c>
      <c r="B118">
        <v>105</v>
      </c>
    </row>
    <row r="119" spans="1:2" ht="14.45">
      <c r="A119">
        <v>21</v>
      </c>
      <c r="B119">
        <v>110</v>
      </c>
    </row>
    <row r="120" spans="1:2" ht="14.45">
      <c r="A120">
        <v>22</v>
      </c>
      <c r="B120">
        <v>115</v>
      </c>
    </row>
    <row r="121" spans="1:2" ht="14.45">
      <c r="A121">
        <v>23</v>
      </c>
      <c r="B121">
        <v>120</v>
      </c>
    </row>
    <row r="122" spans="1:2" ht="14.45">
      <c r="A122">
        <v>24</v>
      </c>
      <c r="B122">
        <v>125</v>
      </c>
    </row>
    <row r="124" spans="1:2" ht="14.45">
      <c r="A124" t="s">
        <v>9</v>
      </c>
    </row>
    <row r="125" spans="1:2" ht="14.45">
      <c r="A125" t="s">
        <v>7</v>
      </c>
      <c r="B125" s="2" t="s">
        <v>59</v>
      </c>
    </row>
    <row r="126" spans="1:2" ht="14.45">
      <c r="A126">
        <v>1</v>
      </c>
      <c r="B126">
        <v>20138.7625525</v>
      </c>
    </row>
    <row r="127" spans="1:2" ht="14.45">
      <c r="A127">
        <v>2</v>
      </c>
      <c r="B127">
        <v>15818.724221799999</v>
      </c>
    </row>
    <row r="128" spans="1:2" ht="14.45">
      <c r="A128">
        <v>3</v>
      </c>
      <c r="B128">
        <v>12528.156843700001</v>
      </c>
    </row>
    <row r="129" spans="1:2" ht="14.45">
      <c r="A129">
        <v>4</v>
      </c>
      <c r="B129">
        <v>10000</v>
      </c>
    </row>
    <row r="130" spans="1:2" ht="14.45">
      <c r="A130">
        <v>5</v>
      </c>
      <c r="B130">
        <v>8041.5880165899998</v>
      </c>
    </row>
    <row r="131" spans="1:2" ht="14.45">
      <c r="A131">
        <v>6</v>
      </c>
      <c r="B131">
        <v>6512.6158372600003</v>
      </c>
    </row>
    <row r="132" spans="1:2" ht="14.45">
      <c r="A132">
        <v>7</v>
      </c>
      <c r="B132">
        <v>5309.9909683699998</v>
      </c>
    </row>
    <row r="133" spans="1:2" ht="14.45">
      <c r="A133">
        <v>8</v>
      </c>
      <c r="B133">
        <v>4357.3143498500003</v>
      </c>
    </row>
    <row r="134" spans="1:2" ht="14.45">
      <c r="A134">
        <v>9</v>
      </c>
      <c r="B134">
        <v>3597.5052267900001</v>
      </c>
    </row>
    <row r="135" spans="1:2" ht="14.45">
      <c r="A135">
        <v>10</v>
      </c>
      <c r="B135">
        <v>2987.5826778199998</v>
      </c>
    </row>
    <row r="136" spans="1:2" ht="14.45">
      <c r="A136">
        <v>11</v>
      </c>
      <c r="B136">
        <v>2494.94059143</v>
      </c>
    </row>
    <row r="137" spans="1:2" ht="14.45">
      <c r="A137">
        <v>12</v>
      </c>
      <c r="B137">
        <v>2094.66624546</v>
      </c>
    </row>
    <row r="138" spans="1:2" ht="14.45">
      <c r="A138">
        <v>13</v>
      </c>
      <c r="B138">
        <v>1767.5945050800001</v>
      </c>
    </row>
    <row r="139" spans="1:2" ht="14.45">
      <c r="A139">
        <v>14</v>
      </c>
      <c r="B139">
        <v>1498.88488306</v>
      </c>
    </row>
    <row r="140" spans="1:2" ht="14.45">
      <c r="A140">
        <v>15</v>
      </c>
      <c r="B140">
        <v>1276.9732216499999</v>
      </c>
    </row>
    <row r="141" spans="1:2" ht="14.45">
      <c r="A141">
        <v>16</v>
      </c>
      <c r="B141">
        <v>1092.7938526800001</v>
      </c>
    </row>
    <row r="142" spans="1:2" ht="14.45">
      <c r="A142">
        <v>17</v>
      </c>
      <c r="B142">
        <v>939.19848931599995</v>
      </c>
    </row>
    <row r="143" spans="1:2" ht="14.45">
      <c r="A143">
        <v>18</v>
      </c>
      <c r="B143">
        <v>810.51922855999999</v>
      </c>
    </row>
    <row r="144" spans="1:2" ht="14.45">
      <c r="A144">
        <v>19</v>
      </c>
      <c r="B144">
        <v>702.23784105100003</v>
      </c>
    </row>
    <row r="145" spans="1:2" ht="14.45">
      <c r="A145">
        <v>20</v>
      </c>
      <c r="B145">
        <v>610.73396850799998</v>
      </c>
    </row>
    <row r="146" spans="1:2" ht="14.45">
      <c r="A146">
        <v>21</v>
      </c>
      <c r="B146">
        <v>533.09227392299999</v>
      </c>
    </row>
    <row r="147" spans="1:2" ht="14.45">
      <c r="A147">
        <v>22</v>
      </c>
      <c r="B147">
        <v>466.95390538700002</v>
      </c>
    </row>
    <row r="148" spans="1:2" ht="14.45">
      <c r="A148">
        <v>23</v>
      </c>
      <c r="B148">
        <v>410.401466035</v>
      </c>
    </row>
    <row r="149" spans="1:2" ht="14.45">
      <c r="A149">
        <v>24</v>
      </c>
      <c r="B149">
        <v>361.86946251099999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F8FE3-C035-42A5-B2A7-20BCFEE9BEDA}">
  <dimension ref="A1:I149"/>
  <sheetViews>
    <sheetView tabSelected="1" topLeftCell="G3" zoomScale="74" zoomScaleNormal="70" workbookViewId="0">
      <selection activeCell="AA22" sqref="AA22"/>
    </sheetView>
  </sheetViews>
  <sheetFormatPr defaultRowHeight="15"/>
  <sheetData>
    <row r="1" spans="1:9" ht="14.45">
      <c r="A1" t="s">
        <v>43</v>
      </c>
    </row>
    <row r="2" spans="1:9" ht="14.45">
      <c r="A2" t="s">
        <v>44</v>
      </c>
    </row>
    <row r="3" spans="1:9" ht="14.45">
      <c r="A3" t="s">
        <v>60</v>
      </c>
    </row>
    <row r="4" spans="1:9" ht="14.45">
      <c r="A4" t="s">
        <v>46</v>
      </c>
      <c r="F4" t="s">
        <v>47</v>
      </c>
      <c r="G4" t="s">
        <v>2</v>
      </c>
      <c r="H4" t="s">
        <v>1</v>
      </c>
      <c r="I4" t="s">
        <v>48</v>
      </c>
    </row>
    <row r="5" spans="1:9" ht="14.45">
      <c r="A5" t="s">
        <v>49</v>
      </c>
      <c r="F5">
        <f>B78</f>
        <v>10</v>
      </c>
      <c r="G5">
        <f>B58</f>
        <v>10392.7573696</v>
      </c>
      <c r="H5">
        <f>B98</f>
        <v>20138.7625525</v>
      </c>
      <c r="I5">
        <f>B38/10</f>
        <v>9.6220855008400001E-5</v>
      </c>
    </row>
    <row r="6" spans="1:9" ht="14.45">
      <c r="A6" t="s">
        <v>50</v>
      </c>
      <c r="F6">
        <f t="shared" ref="F6:F21" si="0">B79</f>
        <v>15</v>
      </c>
      <c r="G6">
        <f t="shared" ref="G6:G28" si="1">B59</f>
        <v>13102.910360100001</v>
      </c>
      <c r="H6">
        <f t="shared" ref="H6:H21" si="2">B99</f>
        <v>15818.724221799999</v>
      </c>
      <c r="I6">
        <f t="shared" ref="I6:I21" si="3">B39/10</f>
        <v>7.6318922477300002E-5</v>
      </c>
    </row>
    <row r="7" spans="1:9" ht="14.45">
      <c r="A7" t="s">
        <v>51</v>
      </c>
      <c r="F7">
        <f t="shared" si="0"/>
        <v>20</v>
      </c>
      <c r="G7">
        <f t="shared" si="1"/>
        <v>16364.7297086</v>
      </c>
      <c r="H7">
        <f t="shared" si="2"/>
        <v>12528.156843700001</v>
      </c>
      <c r="I7">
        <f t="shared" si="3"/>
        <v>6.1107028212799999E-5</v>
      </c>
    </row>
    <row r="8" spans="1:9" ht="14.45">
      <c r="A8" t="s">
        <v>52</v>
      </c>
      <c r="F8">
        <f t="shared" si="0"/>
        <v>25</v>
      </c>
      <c r="G8">
        <f t="shared" si="1"/>
        <v>20206.396373600001</v>
      </c>
      <c r="H8">
        <f t="shared" si="2"/>
        <v>10000</v>
      </c>
      <c r="I8">
        <f t="shared" si="3"/>
        <v>4.9489279607899998E-5</v>
      </c>
    </row>
    <row r="9" spans="1:9" ht="14.45">
      <c r="A9" t="s">
        <v>53</v>
      </c>
      <c r="F9">
        <f t="shared" si="0"/>
        <v>30</v>
      </c>
      <c r="G9">
        <f t="shared" si="1"/>
        <v>24647.0444255</v>
      </c>
      <c r="H9">
        <f t="shared" si="2"/>
        <v>8041.5880165899998</v>
      </c>
      <c r="I9">
        <f t="shared" si="3"/>
        <v>4.05728160641E-5</v>
      </c>
    </row>
    <row r="10" spans="1:9" ht="14.45">
      <c r="A10" t="s">
        <v>54</v>
      </c>
      <c r="F10">
        <f t="shared" si="0"/>
        <v>35</v>
      </c>
      <c r="G10">
        <f t="shared" si="1"/>
        <v>29637.819181399998</v>
      </c>
      <c r="H10">
        <f t="shared" si="2"/>
        <v>6512.6158372600003</v>
      </c>
      <c r="I10">
        <f t="shared" si="3"/>
        <v>3.37406741663E-5</v>
      </c>
    </row>
    <row r="11" spans="1:9" ht="14.45">
      <c r="A11" t="s">
        <v>11</v>
      </c>
      <c r="F11">
        <f t="shared" si="0"/>
        <v>40</v>
      </c>
      <c r="G11">
        <f t="shared" si="1"/>
        <v>35553.3851058</v>
      </c>
      <c r="H11">
        <f t="shared" si="2"/>
        <v>5309.9909683699998</v>
      </c>
      <c r="I11">
        <f t="shared" si="3"/>
        <v>2.8126716964500002E-5</v>
      </c>
    </row>
    <row r="12" spans="1:9" ht="14.45">
      <c r="A12" t="s">
        <v>14</v>
      </c>
      <c r="F12">
        <f t="shared" si="0"/>
        <v>45</v>
      </c>
      <c r="G12">
        <f t="shared" si="1"/>
        <v>42083.042836400004</v>
      </c>
      <c r="H12">
        <f t="shared" si="2"/>
        <v>4357.3143498500003</v>
      </c>
      <c r="I12">
        <f t="shared" si="3"/>
        <v>2.3762540268000002E-5</v>
      </c>
    </row>
    <row r="13" spans="1:9" ht="14.45">
      <c r="A13" t="s">
        <v>15</v>
      </c>
      <c r="F13">
        <f t="shared" si="0"/>
        <v>50</v>
      </c>
      <c r="G13">
        <f t="shared" si="1"/>
        <v>49478.048726200002</v>
      </c>
      <c r="H13">
        <f t="shared" si="2"/>
        <v>3597.5052267900001</v>
      </c>
      <c r="I13">
        <f t="shared" si="3"/>
        <v>2.02109829661E-5</v>
      </c>
    </row>
    <row r="14" spans="1:9" ht="14.45">
      <c r="A14" t="s">
        <v>16</v>
      </c>
      <c r="F14">
        <f t="shared" si="0"/>
        <v>55</v>
      </c>
      <c r="G14">
        <f t="shared" si="1"/>
        <v>57268.276953799999</v>
      </c>
      <c r="H14">
        <f t="shared" si="2"/>
        <v>2987.5826778199998</v>
      </c>
      <c r="I14">
        <f t="shared" si="3"/>
        <v>1.7461674301899999E-5</v>
      </c>
    </row>
    <row r="15" spans="1:9" ht="14.45">
      <c r="A15" t="s">
        <v>17</v>
      </c>
      <c r="F15">
        <f t="shared" si="0"/>
        <v>60</v>
      </c>
      <c r="G15">
        <f t="shared" si="1"/>
        <v>65909.778509900003</v>
      </c>
      <c r="H15">
        <f t="shared" si="2"/>
        <v>2494.94059143</v>
      </c>
      <c r="I15">
        <f t="shared" si="3"/>
        <v>1.51722555076E-5</v>
      </c>
    </row>
    <row r="16" spans="1:9" ht="14.45">
      <c r="A16" t="s">
        <v>18</v>
      </c>
      <c r="F16">
        <f t="shared" si="0"/>
        <v>65</v>
      </c>
      <c r="G16">
        <f t="shared" si="1"/>
        <v>75123.1139539</v>
      </c>
      <c r="H16">
        <f t="shared" si="2"/>
        <v>2094.66624546</v>
      </c>
      <c r="I16">
        <f t="shared" si="3"/>
        <v>1.33114822771E-5</v>
      </c>
    </row>
    <row r="17" spans="1:9" ht="14.45">
      <c r="A17" t="s">
        <v>19</v>
      </c>
      <c r="F17">
        <f t="shared" si="0"/>
        <v>70</v>
      </c>
      <c r="G17">
        <f t="shared" si="1"/>
        <v>84624.985916399994</v>
      </c>
      <c r="H17">
        <f t="shared" si="2"/>
        <v>1767.5945050800001</v>
      </c>
      <c r="I17">
        <f t="shared" si="3"/>
        <v>1.18168409622E-5</v>
      </c>
    </row>
    <row r="18" spans="1:9" ht="14.45">
      <c r="A18" t="s">
        <v>20</v>
      </c>
      <c r="F18">
        <f t="shared" si="0"/>
        <v>75</v>
      </c>
      <c r="G18">
        <f t="shared" si="1"/>
        <v>95193.368241799995</v>
      </c>
      <c r="H18">
        <f t="shared" si="2"/>
        <v>1498.88488306</v>
      </c>
      <c r="I18">
        <f t="shared" si="3"/>
        <v>1.05049334683E-5</v>
      </c>
    </row>
    <row r="19" spans="1:9" ht="14.45">
      <c r="A19" t="s">
        <v>21</v>
      </c>
      <c r="F19">
        <f t="shared" si="0"/>
        <v>80</v>
      </c>
      <c r="G19">
        <f t="shared" si="1"/>
        <v>105280.114956</v>
      </c>
      <c r="H19">
        <f t="shared" si="2"/>
        <v>1276.9732216499999</v>
      </c>
      <c r="I19">
        <f t="shared" si="3"/>
        <v>9.4984698717299995E-6</v>
      </c>
    </row>
    <row r="20" spans="1:9" ht="14.45">
      <c r="A20" t="s">
        <v>22</v>
      </c>
      <c r="F20">
        <f t="shared" si="0"/>
        <v>85</v>
      </c>
      <c r="G20">
        <f t="shared" si="1"/>
        <v>115432.68031</v>
      </c>
      <c r="H20">
        <f t="shared" si="2"/>
        <v>1092.7938526800001</v>
      </c>
      <c r="I20">
        <f t="shared" si="3"/>
        <v>8.6630579599900009E-6</v>
      </c>
    </row>
    <row r="21" spans="1:9" ht="14.45">
      <c r="A21" t="s">
        <v>23</v>
      </c>
      <c r="F21">
        <f t="shared" si="0"/>
        <v>90</v>
      </c>
      <c r="G21">
        <f t="shared" si="1"/>
        <v>126165.228596</v>
      </c>
      <c r="H21">
        <f t="shared" si="2"/>
        <v>939.19848931599995</v>
      </c>
      <c r="I21">
        <f t="shared" si="3"/>
        <v>7.9261141213799994E-6</v>
      </c>
    </row>
    <row r="22" spans="1:9" ht="14.45">
      <c r="A22" t="s">
        <v>24</v>
      </c>
    </row>
    <row r="23" spans="1:9" ht="14.45">
      <c r="A23" t="s">
        <v>25</v>
      </c>
    </row>
    <row r="24" spans="1:9" ht="14.45">
      <c r="A24" t="s">
        <v>26</v>
      </c>
    </row>
    <row r="25" spans="1:9" ht="14.45">
      <c r="A25" t="s">
        <v>27</v>
      </c>
    </row>
    <row r="26" spans="1:9" ht="14.45">
      <c r="A26" t="s">
        <v>28</v>
      </c>
    </row>
    <row r="27" spans="1:9" ht="14.45">
      <c r="A27" t="s">
        <v>29</v>
      </c>
    </row>
    <row r="28" spans="1:9" ht="14.45">
      <c r="A28" t="s">
        <v>61</v>
      </c>
    </row>
    <row r="29" spans="1:9" ht="14.45"/>
    <row r="30" spans="1:9" ht="14.45">
      <c r="A30" t="s">
        <v>38</v>
      </c>
    </row>
    <row r="31" spans="1:9" ht="14.45">
      <c r="A31" t="s">
        <v>39</v>
      </c>
    </row>
    <row r="32" spans="1:9" ht="14.45">
      <c r="A32" t="s">
        <v>40</v>
      </c>
    </row>
    <row r="33" spans="1:4" ht="14.45">
      <c r="A33" t="s">
        <v>41</v>
      </c>
    </row>
    <row r="34" spans="1:4" ht="14.45"/>
    <row r="35" spans="1:4" ht="14.45"/>
    <row r="36" spans="1:4">
      <c r="A36" t="s">
        <v>42</v>
      </c>
    </row>
    <row r="37" spans="1:4" ht="14.45">
      <c r="A37" t="s">
        <v>7</v>
      </c>
      <c r="B37" t="s">
        <v>3</v>
      </c>
      <c r="C37" t="s">
        <v>4</v>
      </c>
      <c r="D37" t="s">
        <v>5</v>
      </c>
    </row>
    <row r="38" spans="1:4" ht="14.45">
      <c r="A38">
        <v>1</v>
      </c>
      <c r="B38">
        <v>9.6220855008400004E-4</v>
      </c>
      <c r="C38">
        <v>4.2382106321599999E-4</v>
      </c>
      <c r="D38">
        <v>1.3860296133E-3</v>
      </c>
    </row>
    <row r="39" spans="1:4" ht="14.45">
      <c r="A39">
        <v>2</v>
      </c>
      <c r="B39">
        <v>7.6318922477299996E-4</v>
      </c>
      <c r="C39">
        <v>3.3806967443500001E-4</v>
      </c>
      <c r="D39">
        <v>1.10125889921E-3</v>
      </c>
    </row>
    <row r="40" spans="1:4" ht="14.45">
      <c r="A40">
        <v>3</v>
      </c>
      <c r="B40">
        <v>6.1107028212800001E-4</v>
      </c>
      <c r="C40">
        <v>2.71952483674E-4</v>
      </c>
      <c r="D40">
        <v>8.8302276580199996E-4</v>
      </c>
    </row>
    <row r="41" spans="1:4">
      <c r="A41">
        <v>4</v>
      </c>
      <c r="B41">
        <v>4.9489279607899995E-4</v>
      </c>
      <c r="C41">
        <v>2.20781069913E-4</v>
      </c>
      <c r="D41">
        <v>7.1567386599200001E-4</v>
      </c>
    </row>
    <row r="42" spans="1:4">
      <c r="A42">
        <v>5</v>
      </c>
      <c r="B42">
        <v>4.0572816064100002E-4</v>
      </c>
      <c r="C42">
        <v>1.79740096076E-4</v>
      </c>
      <c r="D42">
        <v>5.8546825671699999E-4</v>
      </c>
    </row>
    <row r="43" spans="1:4" ht="14.45">
      <c r="A43">
        <v>6</v>
      </c>
      <c r="B43">
        <v>3.37406741663E-4</v>
      </c>
      <c r="C43">
        <v>1.46408338498E-4</v>
      </c>
      <c r="D43">
        <v>4.8381508016099998E-4</v>
      </c>
    </row>
    <row r="44" spans="1:4" ht="14.45">
      <c r="A44">
        <v>7</v>
      </c>
      <c r="B44">
        <v>2.8126716964500001E-4</v>
      </c>
      <c r="C44">
        <v>1.16345782422E-4</v>
      </c>
      <c r="D44">
        <v>3.9761295206699999E-4</v>
      </c>
    </row>
    <row r="45" spans="1:4" ht="14.45">
      <c r="A45">
        <v>8</v>
      </c>
      <c r="B45">
        <v>2.3762540268000001E-4</v>
      </c>
      <c r="C45">
        <v>1.08812348325E-4</v>
      </c>
      <c r="D45">
        <v>3.46437751005E-4</v>
      </c>
    </row>
    <row r="46" spans="1:4" ht="14.45">
      <c r="A46">
        <v>9</v>
      </c>
      <c r="B46">
        <v>2.0210982966099999E-4</v>
      </c>
      <c r="C46" s="1">
        <v>8.0653191632999998E-5</v>
      </c>
      <c r="D46">
        <v>2.8276302129399999E-4</v>
      </c>
    </row>
    <row r="47" spans="1:4" ht="14.45">
      <c r="A47">
        <v>10</v>
      </c>
      <c r="B47">
        <v>1.74616743019E-4</v>
      </c>
      <c r="C47" s="1">
        <v>7.8528127853100005E-5</v>
      </c>
      <c r="D47">
        <v>2.5314487087200002E-4</v>
      </c>
    </row>
    <row r="48" spans="1:4" ht="14.45">
      <c r="A48">
        <v>11</v>
      </c>
      <c r="B48">
        <v>1.51722555076E-4</v>
      </c>
      <c r="C48" s="1">
        <v>6.2521567271599994E-5</v>
      </c>
      <c r="D48">
        <v>2.1424412234700001E-4</v>
      </c>
    </row>
    <row r="49" spans="1:4" ht="14.45">
      <c r="A49">
        <v>12</v>
      </c>
      <c r="B49">
        <v>1.33114822771E-4</v>
      </c>
      <c r="C49" s="1">
        <v>6.3678893948999999E-5</v>
      </c>
      <c r="D49">
        <v>1.9679371672000001E-4</v>
      </c>
    </row>
    <row r="50" spans="1:4" ht="14.45">
      <c r="A50">
        <v>13</v>
      </c>
      <c r="B50">
        <v>1.18168409622E-4</v>
      </c>
      <c r="C50" s="1">
        <v>5.3245714777399997E-5</v>
      </c>
      <c r="D50">
        <v>1.7141412439899999E-4</v>
      </c>
    </row>
    <row r="51" spans="1:4" ht="14.45">
      <c r="A51">
        <v>14</v>
      </c>
      <c r="B51">
        <v>1.05049334683E-4</v>
      </c>
      <c r="C51" s="1">
        <v>4.4979738770200001E-5</v>
      </c>
      <c r="D51">
        <v>1.5002907345300001E-4</v>
      </c>
    </row>
    <row r="52" spans="1:4" ht="14.45">
      <c r="A52">
        <v>15</v>
      </c>
      <c r="B52" s="1">
        <v>9.4984698717299999E-5</v>
      </c>
      <c r="C52" s="1">
        <v>4.7924841107400001E-5</v>
      </c>
      <c r="D52">
        <v>1.4290953982500001E-4</v>
      </c>
    </row>
    <row r="53" spans="1:4" ht="14.45">
      <c r="A53">
        <v>16</v>
      </c>
      <c r="B53" s="1">
        <v>8.6630579599900005E-5</v>
      </c>
      <c r="C53" s="1">
        <v>4.1930148013199997E-5</v>
      </c>
      <c r="D53">
        <v>1.2856072761299999E-4</v>
      </c>
    </row>
    <row r="54" spans="1:4" ht="14.45">
      <c r="A54">
        <v>17</v>
      </c>
      <c r="B54" s="1">
        <v>7.9261141213799997E-5</v>
      </c>
      <c r="C54" s="1">
        <v>3.7092431555499998E-5</v>
      </c>
      <c r="D54">
        <v>1.16353572769E-4</v>
      </c>
    </row>
    <row r="55" spans="1:4" ht="14.45">
      <c r="C55" s="1"/>
    </row>
    <row r="56" spans="1:4" ht="14.45">
      <c r="A56" t="s">
        <v>6</v>
      </c>
      <c r="C56" s="1"/>
    </row>
    <row r="57" spans="1:4" ht="14.45">
      <c r="A57" t="s">
        <v>7</v>
      </c>
      <c r="B57" s="2" t="s">
        <v>57</v>
      </c>
      <c r="C57" s="1"/>
    </row>
    <row r="58" spans="1:4" ht="14.45">
      <c r="A58">
        <v>1</v>
      </c>
      <c r="B58">
        <v>10392.7573696</v>
      </c>
      <c r="C58" s="1"/>
    </row>
    <row r="59" spans="1:4" ht="14.45">
      <c r="A59">
        <v>2</v>
      </c>
      <c r="B59">
        <v>13102.910360100001</v>
      </c>
      <c r="C59" s="1"/>
    </row>
    <row r="60" spans="1:4" ht="14.45">
      <c r="A60">
        <v>3</v>
      </c>
      <c r="B60" s="1">
        <v>16364.7297086</v>
      </c>
      <c r="C60" s="1"/>
      <c r="D60" s="1"/>
    </row>
    <row r="61" spans="1:4" ht="14.45">
      <c r="A61">
        <v>4</v>
      </c>
      <c r="B61" s="1">
        <v>20206.396373600001</v>
      </c>
      <c r="C61" s="1"/>
    </row>
    <row r="62" spans="1:4" ht="14.45">
      <c r="A62">
        <v>5</v>
      </c>
      <c r="B62" s="1">
        <v>24647.0444255</v>
      </c>
      <c r="C62" s="1"/>
      <c r="D62" s="1"/>
    </row>
    <row r="63" spans="1:4" ht="14.45">
      <c r="A63">
        <v>6</v>
      </c>
      <c r="B63" s="1">
        <v>29637.819181399998</v>
      </c>
      <c r="C63" s="1"/>
      <c r="D63" s="1"/>
    </row>
    <row r="64" spans="1:4" ht="14.45">
      <c r="A64">
        <v>7</v>
      </c>
      <c r="B64" s="1">
        <v>35553.3851058</v>
      </c>
      <c r="C64" s="1"/>
      <c r="D64" s="1"/>
    </row>
    <row r="65" spans="1:4" ht="14.45">
      <c r="A65">
        <v>8</v>
      </c>
      <c r="B65" s="1">
        <v>42083.042836400004</v>
      </c>
      <c r="C65" s="1"/>
      <c r="D65" s="1"/>
    </row>
    <row r="66" spans="1:4" ht="14.45">
      <c r="A66">
        <v>9</v>
      </c>
      <c r="B66" s="1">
        <v>49478.048726200002</v>
      </c>
      <c r="C66" s="1"/>
      <c r="D66" s="1"/>
    </row>
    <row r="67" spans="1:4" ht="14.45">
      <c r="A67">
        <v>10</v>
      </c>
      <c r="B67" s="1">
        <v>57268.276953799999</v>
      </c>
      <c r="C67" s="1"/>
      <c r="D67" s="1"/>
    </row>
    <row r="68" spans="1:4" ht="14.45">
      <c r="A68">
        <v>11</v>
      </c>
      <c r="B68" s="1">
        <v>65909.778509900003</v>
      </c>
      <c r="C68" s="1"/>
      <c r="D68" s="1"/>
    </row>
    <row r="69" spans="1:4">
      <c r="A69">
        <v>12</v>
      </c>
      <c r="B69">
        <v>75123.1139539</v>
      </c>
    </row>
    <row r="70" spans="1:4" ht="14.45">
      <c r="A70">
        <v>13</v>
      </c>
      <c r="B70">
        <v>84624.985916399994</v>
      </c>
    </row>
    <row r="71" spans="1:4" ht="14.45">
      <c r="A71">
        <v>14</v>
      </c>
      <c r="B71">
        <v>95193.368241799995</v>
      </c>
    </row>
    <row r="72" spans="1:4" ht="14.45">
      <c r="A72">
        <v>15</v>
      </c>
      <c r="B72">
        <v>105280.114956</v>
      </c>
    </row>
    <row r="73" spans="1:4" ht="14.45">
      <c r="A73">
        <v>16</v>
      </c>
      <c r="B73">
        <v>115432.68031</v>
      </c>
    </row>
    <row r="74" spans="1:4" ht="14.45">
      <c r="A74">
        <v>17</v>
      </c>
      <c r="B74">
        <v>126165.228596</v>
      </c>
    </row>
    <row r="75" spans="1:4" ht="14.45"/>
    <row r="76" spans="1:4" ht="14.45">
      <c r="A76" t="s">
        <v>8</v>
      </c>
    </row>
    <row r="77" spans="1:4" ht="14.45">
      <c r="A77" t="s">
        <v>7</v>
      </c>
      <c r="B77" s="2" t="s">
        <v>58</v>
      </c>
    </row>
    <row r="78" spans="1:4" ht="14.45">
      <c r="A78">
        <v>1</v>
      </c>
      <c r="B78">
        <v>10</v>
      </c>
    </row>
    <row r="79" spans="1:4" ht="14.45">
      <c r="A79">
        <v>2</v>
      </c>
      <c r="B79">
        <v>15</v>
      </c>
    </row>
    <row r="80" spans="1:4" ht="14.45">
      <c r="A80">
        <v>3</v>
      </c>
      <c r="B80">
        <v>20</v>
      </c>
    </row>
    <row r="81" spans="1:2" ht="14.45">
      <c r="A81">
        <v>4</v>
      </c>
      <c r="B81">
        <v>25</v>
      </c>
    </row>
    <row r="82" spans="1:2" ht="14.45">
      <c r="A82">
        <v>5</v>
      </c>
      <c r="B82">
        <v>30</v>
      </c>
    </row>
    <row r="83" spans="1:2" ht="14.45">
      <c r="A83">
        <v>6</v>
      </c>
      <c r="B83">
        <v>35</v>
      </c>
    </row>
    <row r="84" spans="1:2" ht="14.45">
      <c r="A84">
        <v>7</v>
      </c>
      <c r="B84">
        <v>40</v>
      </c>
    </row>
    <row r="85" spans="1:2" ht="14.45">
      <c r="A85">
        <v>8</v>
      </c>
      <c r="B85">
        <v>45</v>
      </c>
    </row>
    <row r="86" spans="1:2" ht="14.45">
      <c r="A86">
        <v>9</v>
      </c>
      <c r="B86">
        <v>50</v>
      </c>
    </row>
    <row r="87" spans="1:2" ht="14.45">
      <c r="A87">
        <v>10</v>
      </c>
      <c r="B87">
        <v>55</v>
      </c>
    </row>
    <row r="88" spans="1:2" ht="14.45">
      <c r="A88">
        <v>11</v>
      </c>
      <c r="B88">
        <v>60</v>
      </c>
    </row>
    <row r="89" spans="1:2" ht="14.45">
      <c r="A89">
        <v>12</v>
      </c>
      <c r="B89">
        <v>65</v>
      </c>
    </row>
    <row r="90" spans="1:2" ht="14.45">
      <c r="A90">
        <v>13</v>
      </c>
      <c r="B90">
        <v>70</v>
      </c>
    </row>
    <row r="91" spans="1:2" ht="14.45">
      <c r="A91">
        <v>14</v>
      </c>
      <c r="B91">
        <v>75</v>
      </c>
    </row>
    <row r="92" spans="1:2" ht="14.45">
      <c r="A92">
        <v>15</v>
      </c>
      <c r="B92">
        <v>80</v>
      </c>
    </row>
    <row r="93" spans="1:2" ht="14.45">
      <c r="A93">
        <v>16</v>
      </c>
      <c r="B93">
        <v>85</v>
      </c>
    </row>
    <row r="94" spans="1:2" ht="14.45">
      <c r="A94">
        <v>17</v>
      </c>
      <c r="B94">
        <v>90</v>
      </c>
    </row>
    <row r="95" spans="1:2" ht="14.45"/>
    <row r="96" spans="1:2">
      <c r="A96" t="s">
        <v>9</v>
      </c>
    </row>
    <row r="97" spans="1:2" ht="14.45">
      <c r="A97" t="s">
        <v>7</v>
      </c>
      <c r="B97" s="2" t="s">
        <v>59</v>
      </c>
    </row>
    <row r="98" spans="1:2" ht="14.45">
      <c r="A98">
        <v>1</v>
      </c>
      <c r="B98">
        <v>20138.7625525</v>
      </c>
    </row>
    <row r="99" spans="1:2" ht="14.45">
      <c r="A99">
        <v>2</v>
      </c>
      <c r="B99">
        <v>15818.724221799999</v>
      </c>
    </row>
    <row r="100" spans="1:2" ht="14.45">
      <c r="A100">
        <v>3</v>
      </c>
      <c r="B100">
        <v>12528.156843700001</v>
      </c>
    </row>
    <row r="101" spans="1:2" ht="14.45">
      <c r="A101">
        <v>4</v>
      </c>
      <c r="B101">
        <v>10000</v>
      </c>
    </row>
    <row r="102" spans="1:2" ht="14.45">
      <c r="A102">
        <v>5</v>
      </c>
      <c r="B102">
        <v>8041.5880165899998</v>
      </c>
    </row>
    <row r="103" spans="1:2" ht="14.45">
      <c r="A103">
        <v>6</v>
      </c>
      <c r="B103">
        <v>6512.6158372600003</v>
      </c>
    </row>
    <row r="104" spans="1:2" ht="14.45">
      <c r="A104">
        <v>7</v>
      </c>
      <c r="B104">
        <v>5309.9909683699998</v>
      </c>
    </row>
    <row r="105" spans="1:2" ht="14.45">
      <c r="A105">
        <v>8</v>
      </c>
      <c r="B105">
        <v>4357.3143498500003</v>
      </c>
    </row>
    <row r="106" spans="1:2" ht="14.45">
      <c r="A106">
        <v>9</v>
      </c>
      <c r="B106">
        <v>3597.5052267900001</v>
      </c>
    </row>
    <row r="107" spans="1:2" ht="14.45">
      <c r="A107">
        <v>10</v>
      </c>
      <c r="B107">
        <v>2987.5826778199998</v>
      </c>
    </row>
    <row r="108" spans="1:2" ht="14.45">
      <c r="A108">
        <v>11</v>
      </c>
      <c r="B108">
        <v>2494.94059143</v>
      </c>
    </row>
    <row r="109" spans="1:2" ht="14.45">
      <c r="A109">
        <v>12</v>
      </c>
      <c r="B109">
        <v>2094.66624546</v>
      </c>
    </row>
    <row r="110" spans="1:2" ht="14.45">
      <c r="A110">
        <v>13</v>
      </c>
      <c r="B110">
        <v>1767.5945050800001</v>
      </c>
    </row>
    <row r="111" spans="1:2" ht="14.45">
      <c r="A111">
        <v>14</v>
      </c>
      <c r="B111">
        <v>1498.88488306</v>
      </c>
    </row>
    <row r="112" spans="1:2" ht="14.45">
      <c r="A112">
        <v>15</v>
      </c>
      <c r="B112">
        <v>1276.9732216499999</v>
      </c>
    </row>
    <row r="113" spans="1:2" ht="14.45">
      <c r="A113">
        <v>16</v>
      </c>
      <c r="B113">
        <v>1092.7938526800001</v>
      </c>
    </row>
    <row r="114" spans="1:2" ht="14.45">
      <c r="A114">
        <v>17</v>
      </c>
      <c r="B114">
        <v>939.19848931599995</v>
      </c>
    </row>
    <row r="115" spans="1:2" ht="14.45">
      <c r="A115">
        <v>17</v>
      </c>
      <c r="B115">
        <v>90</v>
      </c>
    </row>
    <row r="116" spans="1:2" ht="14.45">
      <c r="A116">
        <v>18</v>
      </c>
      <c r="B116">
        <v>95</v>
      </c>
    </row>
    <row r="117" spans="1:2" ht="14.45">
      <c r="A117">
        <v>19</v>
      </c>
      <c r="B117">
        <v>100</v>
      </c>
    </row>
    <row r="118" spans="1:2" ht="14.45">
      <c r="A118">
        <v>20</v>
      </c>
      <c r="B118">
        <v>105</v>
      </c>
    </row>
    <row r="119" spans="1:2" ht="14.45">
      <c r="A119">
        <v>21</v>
      </c>
      <c r="B119">
        <v>110</v>
      </c>
    </row>
    <row r="120" spans="1:2" ht="14.45">
      <c r="A120">
        <v>22</v>
      </c>
      <c r="B120">
        <v>115</v>
      </c>
    </row>
    <row r="121" spans="1:2" ht="14.45">
      <c r="A121">
        <v>23</v>
      </c>
      <c r="B121">
        <v>120</v>
      </c>
    </row>
    <row r="122" spans="1:2" ht="14.45">
      <c r="A122">
        <v>24</v>
      </c>
      <c r="B122">
        <v>125</v>
      </c>
    </row>
    <row r="124" spans="1:2" ht="14.45">
      <c r="A124" t="s">
        <v>9</v>
      </c>
    </row>
    <row r="125" spans="1:2" ht="14.45">
      <c r="A125" t="s">
        <v>7</v>
      </c>
      <c r="B125" t="s">
        <v>10</v>
      </c>
    </row>
    <row r="126" spans="1:2" ht="14.45">
      <c r="A126">
        <v>1</v>
      </c>
      <c r="B126">
        <v>20138.7625525</v>
      </c>
    </row>
    <row r="127" spans="1:2" ht="14.45">
      <c r="A127">
        <v>2</v>
      </c>
      <c r="B127">
        <v>15818.724221799999</v>
      </c>
    </row>
    <row r="128" spans="1:2" ht="14.45">
      <c r="A128">
        <v>3</v>
      </c>
      <c r="B128">
        <v>12528.156843700001</v>
      </c>
    </row>
    <row r="129" spans="1:2" ht="14.45">
      <c r="A129">
        <v>4</v>
      </c>
      <c r="B129">
        <v>10000</v>
      </c>
    </row>
    <row r="130" spans="1:2" ht="14.45">
      <c r="A130">
        <v>5</v>
      </c>
      <c r="B130">
        <v>8041.5880165899998</v>
      </c>
    </row>
    <row r="131" spans="1:2" ht="14.45">
      <c r="A131">
        <v>6</v>
      </c>
      <c r="B131">
        <v>6512.6158372600003</v>
      </c>
    </row>
    <row r="132" spans="1:2" ht="14.45">
      <c r="A132">
        <v>7</v>
      </c>
      <c r="B132">
        <v>5309.9909683699998</v>
      </c>
    </row>
    <row r="133" spans="1:2" ht="14.45">
      <c r="A133">
        <v>8</v>
      </c>
      <c r="B133">
        <v>4357.3143498500003</v>
      </c>
    </row>
    <row r="134" spans="1:2" ht="14.45">
      <c r="A134">
        <v>9</v>
      </c>
      <c r="B134">
        <v>3597.5052267900001</v>
      </c>
    </row>
    <row r="135" spans="1:2" ht="14.45">
      <c r="A135">
        <v>10</v>
      </c>
      <c r="B135">
        <v>2987.5826778199998</v>
      </c>
    </row>
    <row r="136" spans="1:2" ht="14.45">
      <c r="A136">
        <v>11</v>
      </c>
      <c r="B136">
        <v>2494.94059143</v>
      </c>
    </row>
    <row r="137" spans="1:2" ht="14.45">
      <c r="A137">
        <v>12</v>
      </c>
      <c r="B137">
        <v>2094.66624546</v>
      </c>
    </row>
    <row r="138" spans="1:2" ht="14.45">
      <c r="A138">
        <v>13</v>
      </c>
      <c r="B138">
        <v>1767.5945050800001</v>
      </c>
    </row>
    <row r="139" spans="1:2" ht="14.45">
      <c r="A139">
        <v>14</v>
      </c>
      <c r="B139">
        <v>1498.88488306</v>
      </c>
    </row>
    <row r="140" spans="1:2" ht="14.45">
      <c r="A140">
        <v>15</v>
      </c>
      <c r="B140">
        <v>1276.9732216499999</v>
      </c>
    </row>
    <row r="141" spans="1:2" ht="14.45">
      <c r="A141">
        <v>16</v>
      </c>
      <c r="B141">
        <v>1092.7938526800001</v>
      </c>
    </row>
    <row r="142" spans="1:2" ht="14.45">
      <c r="A142">
        <v>17</v>
      </c>
      <c r="B142">
        <v>939.19848931599995</v>
      </c>
    </row>
    <row r="143" spans="1:2" ht="14.45">
      <c r="A143">
        <v>18</v>
      </c>
      <c r="B143">
        <v>810.51922855999999</v>
      </c>
    </row>
    <row r="144" spans="1:2" ht="14.45">
      <c r="A144">
        <v>19</v>
      </c>
      <c r="B144">
        <v>702.23784105100003</v>
      </c>
    </row>
    <row r="145" spans="1:2" ht="14.45">
      <c r="A145">
        <v>20</v>
      </c>
      <c r="B145">
        <v>610.73396850799998</v>
      </c>
    </row>
    <row r="146" spans="1:2" ht="14.45">
      <c r="A146">
        <v>21</v>
      </c>
      <c r="B146">
        <v>533.09227392299999</v>
      </c>
    </row>
    <row r="147" spans="1:2" ht="14.45">
      <c r="A147">
        <v>22</v>
      </c>
      <c r="B147">
        <v>466.95390538700002</v>
      </c>
    </row>
    <row r="148" spans="1:2" ht="14.45">
      <c r="A148">
        <v>23</v>
      </c>
      <c r="B148">
        <v>410.401466035</v>
      </c>
    </row>
    <row r="149" spans="1:2" ht="14.45">
      <c r="A149">
        <v>24</v>
      </c>
      <c r="B149">
        <v>361.86946251099999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1DD01-1C18-4B72-A111-BADE34393441}">
  <dimension ref="A1:I149"/>
  <sheetViews>
    <sheetView topLeftCell="A8" zoomScale="74" zoomScaleNormal="70" workbookViewId="0">
      <selection activeCell="F22" sqref="F22"/>
    </sheetView>
  </sheetViews>
  <sheetFormatPr defaultRowHeight="14.45"/>
  <sheetData>
    <row r="1" spans="1:9">
      <c r="A1" t="s">
        <v>43</v>
      </c>
    </row>
    <row r="2" spans="1:9">
      <c r="A2" t="s">
        <v>44</v>
      </c>
    </row>
    <row r="3" spans="1:9">
      <c r="A3" t="s">
        <v>62</v>
      </c>
    </row>
    <row r="4" spans="1:9">
      <c r="A4" t="s">
        <v>46</v>
      </c>
      <c r="F4" t="s">
        <v>47</v>
      </c>
      <c r="G4" t="s">
        <v>2</v>
      </c>
      <c r="H4" t="s">
        <v>1</v>
      </c>
      <c r="I4" t="s">
        <v>48</v>
      </c>
    </row>
    <row r="5" spans="1:9">
      <c r="A5" t="s">
        <v>49</v>
      </c>
      <c r="F5">
        <f>B99</f>
        <v>10</v>
      </c>
      <c r="G5">
        <f>B72</f>
        <v>3428.9813998700001</v>
      </c>
      <c r="H5">
        <f>B126</f>
        <v>20138.7625525</v>
      </c>
      <c r="I5">
        <f>B45/10</f>
        <v>2.9163179480600003E-4</v>
      </c>
    </row>
    <row r="6" spans="1:9">
      <c r="A6" t="s">
        <v>50</v>
      </c>
      <c r="F6">
        <f t="shared" ref="F6:F28" si="0">B100</f>
        <v>15</v>
      </c>
      <c r="G6">
        <f t="shared" ref="G6:G28" si="1">B73</f>
        <v>4324.4718068700004</v>
      </c>
      <c r="H6">
        <f t="shared" ref="H6:H28" si="2">B127</f>
        <v>15818.724221799999</v>
      </c>
      <c r="I6">
        <f t="shared" ref="I6:I28" si="3">B46/10</f>
        <v>2.3124211340899998E-4</v>
      </c>
    </row>
    <row r="7" spans="1:9">
      <c r="A7" t="s">
        <v>51</v>
      </c>
      <c r="F7">
        <f t="shared" si="0"/>
        <v>20</v>
      </c>
      <c r="G7">
        <f t="shared" si="1"/>
        <v>5399.6355480399998</v>
      </c>
      <c r="H7">
        <f t="shared" si="2"/>
        <v>12528.156843700001</v>
      </c>
      <c r="I7">
        <f t="shared" si="3"/>
        <v>1.8519768438099999E-4</v>
      </c>
    </row>
    <row r="8" spans="1:9">
      <c r="A8" t="s">
        <v>52</v>
      </c>
      <c r="F8">
        <f t="shared" si="0"/>
        <v>25</v>
      </c>
      <c r="G8">
        <f t="shared" si="1"/>
        <v>6671.4964404299999</v>
      </c>
      <c r="H8">
        <f t="shared" si="2"/>
        <v>10000</v>
      </c>
      <c r="I8">
        <f t="shared" si="3"/>
        <v>1.4989140876100002E-4</v>
      </c>
    </row>
    <row r="9" spans="1:9">
      <c r="A9" t="s">
        <v>53</v>
      </c>
      <c r="F9">
        <f t="shared" si="0"/>
        <v>30</v>
      </c>
      <c r="G9">
        <f t="shared" si="1"/>
        <v>8167.3902192400001</v>
      </c>
      <c r="H9">
        <f t="shared" si="2"/>
        <v>8041.5880165899998</v>
      </c>
      <c r="I9">
        <f t="shared" si="3"/>
        <v>1.2243813178500001E-4</v>
      </c>
    </row>
    <row r="10" spans="1:9">
      <c r="A10" t="s">
        <v>54</v>
      </c>
      <c r="F10">
        <f t="shared" si="0"/>
        <v>35</v>
      </c>
      <c r="G10">
        <f t="shared" si="1"/>
        <v>9895.1555154199996</v>
      </c>
      <c r="H10">
        <f t="shared" si="2"/>
        <v>6512.6158372600003</v>
      </c>
      <c r="I10">
        <f t="shared" si="3"/>
        <v>1.0105955368199998E-4</v>
      </c>
    </row>
    <row r="11" spans="1:9">
      <c r="A11" t="s">
        <v>11</v>
      </c>
      <c r="F11">
        <f t="shared" si="0"/>
        <v>40</v>
      </c>
      <c r="G11">
        <f t="shared" si="1"/>
        <v>11859.0663525</v>
      </c>
      <c r="H11">
        <f t="shared" si="2"/>
        <v>5309.9909683699998</v>
      </c>
      <c r="I11">
        <f t="shared" si="3"/>
        <v>8.4323670201000002E-5</v>
      </c>
    </row>
    <row r="12" spans="1:9">
      <c r="A12" t="s">
        <v>14</v>
      </c>
      <c r="F12">
        <f t="shared" si="0"/>
        <v>45</v>
      </c>
      <c r="G12">
        <f t="shared" si="1"/>
        <v>14062.9119508</v>
      </c>
      <c r="H12">
        <f t="shared" si="2"/>
        <v>4357.3143498500003</v>
      </c>
      <c r="I12">
        <f t="shared" si="3"/>
        <v>7.1109028023300002E-5</v>
      </c>
    </row>
    <row r="13" spans="1:9">
      <c r="A13" t="s">
        <v>15</v>
      </c>
      <c r="F13">
        <f t="shared" si="0"/>
        <v>50</v>
      </c>
      <c r="G13">
        <f t="shared" si="1"/>
        <v>16568.7999609</v>
      </c>
      <c r="H13">
        <f t="shared" si="2"/>
        <v>3597.5052267900001</v>
      </c>
      <c r="I13">
        <f t="shared" si="3"/>
        <v>6.0354401185499994E-5</v>
      </c>
    </row>
    <row r="14" spans="1:9">
      <c r="A14" t="s">
        <v>16</v>
      </c>
      <c r="F14">
        <f t="shared" si="0"/>
        <v>55</v>
      </c>
      <c r="G14">
        <f t="shared" si="1"/>
        <v>19238.066995000001</v>
      </c>
      <c r="H14">
        <f t="shared" si="2"/>
        <v>2987.5826778199998</v>
      </c>
      <c r="I14">
        <f t="shared" si="3"/>
        <v>5.1980274331200003E-5</v>
      </c>
    </row>
    <row r="15" spans="1:9">
      <c r="A15" t="s">
        <v>17</v>
      </c>
      <c r="F15">
        <f t="shared" si="0"/>
        <v>60</v>
      </c>
      <c r="G15">
        <f t="shared" si="1"/>
        <v>22125.733382900002</v>
      </c>
      <c r="H15">
        <f t="shared" si="2"/>
        <v>2494.94059143</v>
      </c>
      <c r="I15">
        <f t="shared" si="3"/>
        <v>4.5196241981900005E-5</v>
      </c>
    </row>
    <row r="16" spans="1:9">
      <c r="A16" t="s">
        <v>18</v>
      </c>
      <c r="F16">
        <f t="shared" si="0"/>
        <v>65</v>
      </c>
      <c r="G16">
        <f t="shared" si="1"/>
        <v>25374.979258399999</v>
      </c>
      <c r="H16">
        <f t="shared" si="2"/>
        <v>2094.66624546</v>
      </c>
      <c r="I16">
        <f t="shared" si="3"/>
        <v>3.9408899208100002E-5</v>
      </c>
    </row>
    <row r="17" spans="1:9">
      <c r="A17" t="s">
        <v>19</v>
      </c>
      <c r="F17">
        <f t="shared" si="0"/>
        <v>70</v>
      </c>
      <c r="G17">
        <f t="shared" si="1"/>
        <v>28674.395982999999</v>
      </c>
      <c r="H17">
        <f t="shared" si="2"/>
        <v>1767.5945050800001</v>
      </c>
      <c r="I17">
        <f t="shared" si="3"/>
        <v>3.4874317861600002E-5</v>
      </c>
    </row>
    <row r="18" spans="1:9">
      <c r="A18" t="s">
        <v>20</v>
      </c>
      <c r="F18">
        <f t="shared" si="0"/>
        <v>75</v>
      </c>
      <c r="G18">
        <f t="shared" si="1"/>
        <v>32033.877391800001</v>
      </c>
      <c r="H18">
        <f t="shared" si="2"/>
        <v>1498.88488306</v>
      </c>
      <c r="I18">
        <f t="shared" si="3"/>
        <v>3.12169515969E-5</v>
      </c>
    </row>
    <row r="19" spans="1:9">
      <c r="A19" t="s">
        <v>21</v>
      </c>
      <c r="F19">
        <f t="shared" si="0"/>
        <v>80</v>
      </c>
      <c r="G19">
        <f t="shared" si="1"/>
        <v>35934.2170902</v>
      </c>
      <c r="H19">
        <f t="shared" si="2"/>
        <v>1276.9732216499999</v>
      </c>
      <c r="I19">
        <f t="shared" si="3"/>
        <v>2.78286291166E-5</v>
      </c>
    </row>
    <row r="20" spans="1:9">
      <c r="A20" t="s">
        <v>22</v>
      </c>
      <c r="F20">
        <f t="shared" si="0"/>
        <v>85</v>
      </c>
      <c r="G20">
        <f t="shared" si="1"/>
        <v>39806.779101</v>
      </c>
      <c r="H20">
        <f t="shared" si="2"/>
        <v>1092.7938526800001</v>
      </c>
      <c r="I20">
        <f t="shared" si="3"/>
        <v>2.5121349242100001E-5</v>
      </c>
    </row>
    <row r="21" spans="1:9">
      <c r="A21" t="s">
        <v>23</v>
      </c>
      <c r="F21">
        <f t="shared" si="0"/>
        <v>90</v>
      </c>
      <c r="G21">
        <f t="shared" si="1"/>
        <v>44151.685971999999</v>
      </c>
      <c r="H21">
        <f t="shared" si="2"/>
        <v>939.19848931599995</v>
      </c>
      <c r="I21">
        <f t="shared" si="3"/>
        <v>2.2649191712299999E-5</v>
      </c>
    </row>
    <row r="22" spans="1:9">
      <c r="A22" t="s">
        <v>24</v>
      </c>
      <c r="F22">
        <f t="shared" si="0"/>
        <v>95</v>
      </c>
      <c r="G22">
        <f t="shared" si="1"/>
        <v>48574.248176100002</v>
      </c>
      <c r="H22">
        <f t="shared" si="2"/>
        <v>810.51922855999999</v>
      </c>
      <c r="I22">
        <f t="shared" si="3"/>
        <v>2.0587040202400001E-5</v>
      </c>
    </row>
    <row r="23" spans="1:9">
      <c r="A23" t="s">
        <v>25</v>
      </c>
      <c r="F23">
        <f t="shared" si="0"/>
        <v>100</v>
      </c>
      <c r="G23">
        <f t="shared" si="1"/>
        <v>53022.788028199997</v>
      </c>
      <c r="H23">
        <f t="shared" si="2"/>
        <v>702.23784105100003</v>
      </c>
      <c r="I23">
        <f t="shared" si="3"/>
        <v>1.8859815509299999E-5</v>
      </c>
    </row>
    <row r="24" spans="1:9">
      <c r="A24" t="s">
        <v>26</v>
      </c>
      <c r="F24">
        <f t="shared" si="0"/>
        <v>105</v>
      </c>
      <c r="G24">
        <f t="shared" si="1"/>
        <v>55877.895571599998</v>
      </c>
      <c r="H24">
        <f t="shared" si="2"/>
        <v>610.73396850799998</v>
      </c>
      <c r="I24">
        <f t="shared" si="3"/>
        <v>1.7896164302E-5</v>
      </c>
    </row>
    <row r="25" spans="1:9">
      <c r="A25" t="s">
        <v>27</v>
      </c>
      <c r="F25">
        <f t="shared" si="0"/>
        <v>110</v>
      </c>
      <c r="G25">
        <f t="shared" si="1"/>
        <v>60236.9496937</v>
      </c>
      <c r="H25">
        <f t="shared" si="2"/>
        <v>533.09227392299999</v>
      </c>
      <c r="I25">
        <f t="shared" si="3"/>
        <v>1.6601106216099998E-5</v>
      </c>
    </row>
    <row r="26" spans="1:9">
      <c r="A26" t="s">
        <v>28</v>
      </c>
      <c r="F26">
        <f t="shared" si="0"/>
        <v>115</v>
      </c>
      <c r="G26">
        <f t="shared" si="1"/>
        <v>64434.131145300002</v>
      </c>
      <c r="H26">
        <f t="shared" si="2"/>
        <v>466.95390538700002</v>
      </c>
      <c r="I26">
        <f t="shared" si="3"/>
        <v>1.5519725062199999E-5</v>
      </c>
    </row>
    <row r="27" spans="1:9">
      <c r="A27" t="s">
        <v>29</v>
      </c>
      <c r="F27">
        <f t="shared" si="0"/>
        <v>120</v>
      </c>
      <c r="G27">
        <f t="shared" si="1"/>
        <v>68939.866830900006</v>
      </c>
      <c r="H27">
        <f t="shared" si="2"/>
        <v>410.401466035</v>
      </c>
      <c r="I27">
        <f t="shared" si="3"/>
        <v>1.4505395005400001E-5</v>
      </c>
    </row>
    <row r="28" spans="1:9">
      <c r="A28" t="s">
        <v>30</v>
      </c>
      <c r="F28">
        <f t="shared" si="0"/>
        <v>125</v>
      </c>
      <c r="G28">
        <f t="shared" si="1"/>
        <v>73428.440990799994</v>
      </c>
      <c r="H28">
        <f t="shared" si="2"/>
        <v>361.86946251099999</v>
      </c>
      <c r="I28">
        <f t="shared" si="3"/>
        <v>1.3618701234900002E-5</v>
      </c>
    </row>
    <row r="29" spans="1:9">
      <c r="A29" t="s">
        <v>31</v>
      </c>
    </row>
    <row r="30" spans="1:9">
      <c r="A30" t="s">
        <v>32</v>
      </c>
    </row>
    <row r="31" spans="1:9">
      <c r="A31" t="s">
        <v>33</v>
      </c>
    </row>
    <row r="32" spans="1:9">
      <c r="A32" t="s">
        <v>34</v>
      </c>
    </row>
    <row r="33" spans="1:4">
      <c r="A33" t="s">
        <v>35</v>
      </c>
    </row>
    <row r="34" spans="1:4">
      <c r="A34" t="s">
        <v>36</v>
      </c>
    </row>
    <row r="35" spans="1:4">
      <c r="A35" t="s">
        <v>63</v>
      </c>
    </row>
    <row r="37" spans="1:4">
      <c r="A37" t="s">
        <v>38</v>
      </c>
    </row>
    <row r="38" spans="1:4">
      <c r="A38" t="s">
        <v>39</v>
      </c>
    </row>
    <row r="39" spans="1:4">
      <c r="A39" t="s">
        <v>40</v>
      </c>
    </row>
    <row r="40" spans="1:4">
      <c r="A40" t="s">
        <v>41</v>
      </c>
    </row>
    <row r="43" spans="1:4">
      <c r="A43" t="s">
        <v>42</v>
      </c>
    </row>
    <row r="44" spans="1:4">
      <c r="A44" t="s">
        <v>7</v>
      </c>
      <c r="B44" t="s">
        <v>3</v>
      </c>
      <c r="C44" t="s">
        <v>4</v>
      </c>
      <c r="D44" t="s">
        <v>5</v>
      </c>
    </row>
    <row r="45" spans="1:4">
      <c r="A45">
        <v>1</v>
      </c>
      <c r="B45">
        <v>2.9163179480600002E-3</v>
      </c>
      <c r="C45">
        <v>1.2628487357999999E-3</v>
      </c>
      <c r="D45">
        <v>4.1791666838599997E-3</v>
      </c>
    </row>
    <row r="46" spans="1:4">
      <c r="A46">
        <v>2</v>
      </c>
      <c r="B46">
        <v>2.3124211340899998E-3</v>
      </c>
      <c r="C46">
        <v>1.00269111529E-3</v>
      </c>
      <c r="D46">
        <v>3.31511224938E-3</v>
      </c>
    </row>
    <row r="47" spans="1:4">
      <c r="A47">
        <v>3</v>
      </c>
      <c r="B47">
        <v>1.8519768438099999E-3</v>
      </c>
      <c r="C47">
        <v>8.0271702952300003E-4</v>
      </c>
      <c r="D47">
        <v>2.6546938733400002E-3</v>
      </c>
    </row>
    <row r="48" spans="1:4">
      <c r="A48">
        <v>4</v>
      </c>
      <c r="B48">
        <v>1.49891408761E-3</v>
      </c>
      <c r="C48">
        <v>6.4702300391100004E-4</v>
      </c>
      <c r="D48">
        <v>2.14593709152E-3</v>
      </c>
    </row>
    <row r="49" spans="1:4">
      <c r="A49">
        <v>5</v>
      </c>
      <c r="B49">
        <v>1.2243813178500001E-3</v>
      </c>
      <c r="C49">
        <v>5.2277816001800005E-4</v>
      </c>
      <c r="D49">
        <v>1.7471594778599999E-3</v>
      </c>
    </row>
    <row r="50" spans="1:4">
      <c r="A50">
        <v>6</v>
      </c>
      <c r="B50">
        <v>1.0105955368199999E-3</v>
      </c>
      <c r="C50">
        <v>4.2152394262500001E-4</v>
      </c>
      <c r="D50">
        <v>1.43211947944E-3</v>
      </c>
    </row>
    <row r="51" spans="1:4">
      <c r="A51">
        <v>7</v>
      </c>
      <c r="B51">
        <v>8.4323670200999996E-4</v>
      </c>
      <c r="C51">
        <v>3.3447830735799998E-4</v>
      </c>
      <c r="D51">
        <v>1.17771500937E-3</v>
      </c>
    </row>
    <row r="52" spans="1:4">
      <c r="A52">
        <v>8</v>
      </c>
      <c r="B52">
        <v>7.1109028023300005E-4</v>
      </c>
      <c r="C52" s="1">
        <v>2.5127933605300002E-4</v>
      </c>
      <c r="D52">
        <v>9.6236961628600002E-4</v>
      </c>
    </row>
    <row r="53" spans="1:4">
      <c r="A53">
        <v>9</v>
      </c>
      <c r="B53">
        <v>6.0354401185499997E-4</v>
      </c>
      <c r="C53" s="1">
        <v>2.1705415171800001E-4</v>
      </c>
      <c r="D53">
        <v>8.2059816357199999E-4</v>
      </c>
    </row>
    <row r="54" spans="1:4">
      <c r="A54">
        <v>10</v>
      </c>
      <c r="B54">
        <v>5.1980274331200004E-4</v>
      </c>
      <c r="C54" s="1">
        <v>1.5013736621999999E-4</v>
      </c>
      <c r="D54">
        <v>6.6994010953099999E-4</v>
      </c>
    </row>
    <row r="55" spans="1:4">
      <c r="A55">
        <v>11</v>
      </c>
      <c r="B55">
        <v>4.5196241981900002E-4</v>
      </c>
      <c r="C55" s="1">
        <v>1.5025107437700001E-4</v>
      </c>
      <c r="D55">
        <v>6.0221349419599998E-4</v>
      </c>
    </row>
    <row r="56" spans="1:4">
      <c r="A56">
        <v>12</v>
      </c>
      <c r="B56">
        <v>3.9408899208099999E-4</v>
      </c>
      <c r="C56" s="1">
        <v>1.14752696268E-4</v>
      </c>
      <c r="D56">
        <v>5.0884168834899998E-4</v>
      </c>
    </row>
    <row r="57" spans="1:4">
      <c r="A57">
        <v>13</v>
      </c>
      <c r="B57">
        <v>3.4874317861600002E-4</v>
      </c>
      <c r="C57" s="1">
        <v>8.9526976878500004E-5</v>
      </c>
      <c r="D57">
        <v>4.38270155495E-4</v>
      </c>
    </row>
    <row r="58" spans="1:4">
      <c r="A58">
        <v>14</v>
      </c>
      <c r="B58">
        <v>3.12169515969E-4</v>
      </c>
      <c r="C58" s="1">
        <v>9.9936463105500007E-5</v>
      </c>
      <c r="D58">
        <v>4.12105979074E-4</v>
      </c>
    </row>
    <row r="59" spans="1:4">
      <c r="A59">
        <v>15</v>
      </c>
      <c r="B59">
        <v>2.7828629116599999E-4</v>
      </c>
      <c r="C59" s="1">
        <v>8.3195582337999998E-5</v>
      </c>
      <c r="D59">
        <v>3.6148187350400001E-4</v>
      </c>
    </row>
    <row r="60" spans="1:4">
      <c r="A60">
        <v>16</v>
      </c>
      <c r="B60" s="1">
        <v>2.5121349242099999E-4</v>
      </c>
      <c r="C60" s="1">
        <v>7.0642988624999999E-5</v>
      </c>
      <c r="D60" s="1">
        <v>3.2185648104599999E-4</v>
      </c>
    </row>
    <row r="61" spans="1:4">
      <c r="A61">
        <v>17</v>
      </c>
      <c r="B61" s="1">
        <v>2.2649191712299999E-4</v>
      </c>
      <c r="C61" s="1">
        <v>6.1313396899699996E-5</v>
      </c>
      <c r="D61">
        <v>2.8780531402300001E-4</v>
      </c>
    </row>
    <row r="62" spans="1:4">
      <c r="A62">
        <v>18</v>
      </c>
      <c r="B62" s="1">
        <v>2.0587040202400001E-4</v>
      </c>
      <c r="C62" s="1">
        <v>5.3962453556900001E-5</v>
      </c>
      <c r="D62" s="1">
        <v>2.5983285558000001E-4</v>
      </c>
    </row>
    <row r="63" spans="1:4">
      <c r="A63">
        <v>19</v>
      </c>
      <c r="B63" s="1">
        <v>1.8859815509299999E-4</v>
      </c>
      <c r="C63" s="1">
        <v>4.8295216200400001E-5</v>
      </c>
      <c r="D63" s="1">
        <v>2.3689337129299999E-4</v>
      </c>
    </row>
    <row r="64" spans="1:4">
      <c r="A64">
        <v>20</v>
      </c>
      <c r="B64" s="1">
        <v>1.7896164302000001E-4</v>
      </c>
      <c r="C64" s="1">
        <v>5.6995179177199999E-5</v>
      </c>
      <c r="D64" s="1">
        <v>2.3595682219699999E-4</v>
      </c>
    </row>
    <row r="65" spans="1:4">
      <c r="A65">
        <v>21</v>
      </c>
      <c r="B65" s="1">
        <v>1.6601106216099999E-4</v>
      </c>
      <c r="C65" s="1">
        <v>5.1849809795099999E-5</v>
      </c>
      <c r="D65" s="1">
        <v>2.17860871956E-4</v>
      </c>
    </row>
    <row r="66" spans="1:4">
      <c r="A66">
        <v>22</v>
      </c>
      <c r="B66" s="1">
        <v>1.55197250622E-4</v>
      </c>
      <c r="C66" s="1">
        <v>4.7807332323500002E-5</v>
      </c>
      <c r="D66" s="1">
        <v>2.0300458294599999E-4</v>
      </c>
    </row>
    <row r="67" spans="1:4">
      <c r="A67">
        <v>23</v>
      </c>
      <c r="B67" s="1">
        <v>1.4505395005400001E-4</v>
      </c>
      <c r="C67" s="1">
        <v>4.4239828959500003E-5</v>
      </c>
      <c r="D67" s="1">
        <v>1.8929377901299999E-4</v>
      </c>
    </row>
    <row r="68" spans="1:4">
      <c r="A68">
        <v>24</v>
      </c>
      <c r="B68" s="1">
        <v>1.3618701234900001E-4</v>
      </c>
      <c r="C68" s="1">
        <v>4.13155422655E-5</v>
      </c>
      <c r="D68" s="1">
        <v>1.7750255461500001E-4</v>
      </c>
    </row>
    <row r="70" spans="1:4">
      <c r="A70" t="s">
        <v>6</v>
      </c>
    </row>
    <row r="71" spans="1:4">
      <c r="A71" t="s">
        <v>7</v>
      </c>
      <c r="B71" t="s">
        <v>13</v>
      </c>
    </row>
    <row r="72" spans="1:4">
      <c r="A72">
        <v>1</v>
      </c>
      <c r="B72">
        <v>3428.9813998700001</v>
      </c>
    </row>
    <row r="73" spans="1:4">
      <c r="A73">
        <v>2</v>
      </c>
      <c r="B73">
        <v>4324.4718068700004</v>
      </c>
    </row>
    <row r="74" spans="1:4">
      <c r="A74">
        <v>3</v>
      </c>
      <c r="B74">
        <v>5399.6355480399998</v>
      </c>
    </row>
    <row r="75" spans="1:4">
      <c r="A75">
        <v>4</v>
      </c>
      <c r="B75">
        <v>6671.4964404299999</v>
      </c>
    </row>
    <row r="76" spans="1:4">
      <c r="A76">
        <v>5</v>
      </c>
      <c r="B76">
        <v>8167.3902192400001</v>
      </c>
    </row>
    <row r="77" spans="1:4">
      <c r="A77">
        <v>6</v>
      </c>
      <c r="B77">
        <v>9895.1555154199996</v>
      </c>
    </row>
    <row r="78" spans="1:4">
      <c r="A78">
        <v>7</v>
      </c>
      <c r="B78">
        <v>11859.0663525</v>
      </c>
    </row>
    <row r="79" spans="1:4">
      <c r="A79">
        <v>8</v>
      </c>
      <c r="B79">
        <v>14062.9119508</v>
      </c>
    </row>
    <row r="80" spans="1:4">
      <c r="A80">
        <v>9</v>
      </c>
      <c r="B80">
        <v>16568.7999609</v>
      </c>
    </row>
    <row r="81" spans="1:2">
      <c r="A81">
        <v>10</v>
      </c>
      <c r="B81">
        <v>19238.066995000001</v>
      </c>
    </row>
    <row r="82" spans="1:2">
      <c r="A82">
        <v>11</v>
      </c>
      <c r="B82">
        <v>22125.733382900002</v>
      </c>
    </row>
    <row r="83" spans="1:2">
      <c r="A83">
        <v>12</v>
      </c>
      <c r="B83">
        <v>25374.979258399999</v>
      </c>
    </row>
    <row r="84" spans="1:2">
      <c r="A84">
        <v>13</v>
      </c>
      <c r="B84">
        <v>28674.395982999999</v>
      </c>
    </row>
    <row r="85" spans="1:2">
      <c r="A85">
        <v>14</v>
      </c>
      <c r="B85">
        <v>32033.877391800001</v>
      </c>
    </row>
    <row r="86" spans="1:2">
      <c r="A86">
        <v>15</v>
      </c>
      <c r="B86">
        <v>35934.2170902</v>
      </c>
    </row>
    <row r="87" spans="1:2">
      <c r="A87">
        <v>16</v>
      </c>
      <c r="B87">
        <v>39806.779101</v>
      </c>
    </row>
    <row r="88" spans="1:2">
      <c r="A88">
        <v>17</v>
      </c>
      <c r="B88">
        <v>44151.685971999999</v>
      </c>
    </row>
    <row r="89" spans="1:2">
      <c r="A89">
        <v>18</v>
      </c>
      <c r="B89">
        <v>48574.248176100002</v>
      </c>
    </row>
    <row r="90" spans="1:2">
      <c r="A90">
        <v>19</v>
      </c>
      <c r="B90">
        <v>53022.788028199997</v>
      </c>
    </row>
    <row r="91" spans="1:2">
      <c r="A91">
        <v>20</v>
      </c>
      <c r="B91">
        <v>55877.895571599998</v>
      </c>
    </row>
    <row r="92" spans="1:2">
      <c r="A92">
        <v>21</v>
      </c>
      <c r="B92">
        <v>60236.9496937</v>
      </c>
    </row>
    <row r="93" spans="1:2">
      <c r="A93">
        <v>22</v>
      </c>
      <c r="B93">
        <v>64434.131145300002</v>
      </c>
    </row>
    <row r="94" spans="1:2">
      <c r="A94">
        <v>23</v>
      </c>
      <c r="B94">
        <v>68939.866830900006</v>
      </c>
    </row>
    <row r="95" spans="1:2">
      <c r="A95">
        <v>24</v>
      </c>
      <c r="B95">
        <v>73428.440990799994</v>
      </c>
    </row>
    <row r="97" spans="1:2">
      <c r="A97" t="s">
        <v>8</v>
      </c>
    </row>
    <row r="98" spans="1:2">
      <c r="A98" t="s">
        <v>7</v>
      </c>
      <c r="B98" t="s">
        <v>12</v>
      </c>
    </row>
    <row r="99" spans="1:2">
      <c r="A99">
        <v>1</v>
      </c>
      <c r="B99">
        <v>10</v>
      </c>
    </row>
    <row r="100" spans="1:2">
      <c r="A100">
        <v>2</v>
      </c>
      <c r="B100">
        <v>15</v>
      </c>
    </row>
    <row r="101" spans="1:2">
      <c r="A101">
        <v>3</v>
      </c>
      <c r="B101">
        <v>20</v>
      </c>
    </row>
    <row r="102" spans="1:2">
      <c r="A102">
        <v>4</v>
      </c>
      <c r="B102">
        <v>25</v>
      </c>
    </row>
    <row r="103" spans="1:2">
      <c r="A103">
        <v>5</v>
      </c>
      <c r="B103">
        <v>30</v>
      </c>
    </row>
    <row r="104" spans="1:2">
      <c r="A104">
        <v>6</v>
      </c>
      <c r="B104">
        <v>35</v>
      </c>
    </row>
    <row r="105" spans="1:2">
      <c r="A105">
        <v>7</v>
      </c>
      <c r="B105">
        <v>40</v>
      </c>
    </row>
    <row r="106" spans="1:2">
      <c r="A106">
        <v>8</v>
      </c>
      <c r="B106">
        <v>45</v>
      </c>
    </row>
    <row r="107" spans="1:2">
      <c r="A107">
        <v>9</v>
      </c>
      <c r="B107">
        <v>50</v>
      </c>
    </row>
    <row r="108" spans="1:2">
      <c r="A108">
        <v>10</v>
      </c>
      <c r="B108">
        <v>55</v>
      </c>
    </row>
    <row r="109" spans="1:2">
      <c r="A109">
        <v>11</v>
      </c>
      <c r="B109">
        <v>60</v>
      </c>
    </row>
    <row r="110" spans="1:2">
      <c r="A110">
        <v>12</v>
      </c>
      <c r="B110">
        <v>65</v>
      </c>
    </row>
    <row r="111" spans="1:2">
      <c r="A111">
        <v>13</v>
      </c>
      <c r="B111">
        <v>70</v>
      </c>
    </row>
    <row r="112" spans="1:2">
      <c r="A112">
        <v>14</v>
      </c>
      <c r="B112">
        <v>75</v>
      </c>
    </row>
    <row r="113" spans="1:2">
      <c r="A113">
        <v>15</v>
      </c>
      <c r="B113">
        <v>80</v>
      </c>
    </row>
    <row r="114" spans="1:2">
      <c r="A114">
        <v>16</v>
      </c>
      <c r="B114">
        <v>85</v>
      </c>
    </row>
    <row r="115" spans="1:2">
      <c r="A115">
        <v>17</v>
      </c>
      <c r="B115">
        <v>90</v>
      </c>
    </row>
    <row r="116" spans="1:2">
      <c r="A116">
        <v>18</v>
      </c>
      <c r="B116">
        <v>95</v>
      </c>
    </row>
    <row r="117" spans="1:2">
      <c r="A117">
        <v>19</v>
      </c>
      <c r="B117">
        <v>100</v>
      </c>
    </row>
    <row r="118" spans="1:2">
      <c r="A118">
        <v>20</v>
      </c>
      <c r="B118">
        <v>105</v>
      </c>
    </row>
    <row r="119" spans="1:2">
      <c r="A119">
        <v>21</v>
      </c>
      <c r="B119">
        <v>110</v>
      </c>
    </row>
    <row r="120" spans="1:2">
      <c r="A120">
        <v>22</v>
      </c>
      <c r="B120">
        <v>115</v>
      </c>
    </row>
    <row r="121" spans="1:2">
      <c r="A121">
        <v>23</v>
      </c>
      <c r="B121">
        <v>120</v>
      </c>
    </row>
    <row r="122" spans="1:2">
      <c r="A122">
        <v>24</v>
      </c>
      <c r="B122">
        <v>125</v>
      </c>
    </row>
    <row r="124" spans="1:2">
      <c r="A124" t="s">
        <v>9</v>
      </c>
    </row>
    <row r="125" spans="1:2">
      <c r="A125" t="s">
        <v>7</v>
      </c>
      <c r="B125" t="s">
        <v>10</v>
      </c>
    </row>
    <row r="126" spans="1:2">
      <c r="A126">
        <v>1</v>
      </c>
      <c r="B126">
        <v>20138.7625525</v>
      </c>
    </row>
    <row r="127" spans="1:2">
      <c r="A127">
        <v>2</v>
      </c>
      <c r="B127">
        <v>15818.724221799999</v>
      </c>
    </row>
    <row r="128" spans="1:2">
      <c r="A128">
        <v>3</v>
      </c>
      <c r="B128">
        <v>12528.156843700001</v>
      </c>
    </row>
    <row r="129" spans="1:2">
      <c r="A129">
        <v>4</v>
      </c>
      <c r="B129">
        <v>10000</v>
      </c>
    </row>
    <row r="130" spans="1:2">
      <c r="A130">
        <v>5</v>
      </c>
      <c r="B130">
        <v>8041.5880165899998</v>
      </c>
    </row>
    <row r="131" spans="1:2">
      <c r="A131">
        <v>6</v>
      </c>
      <c r="B131">
        <v>6512.6158372600003</v>
      </c>
    </row>
    <row r="132" spans="1:2">
      <c r="A132">
        <v>7</v>
      </c>
      <c r="B132">
        <v>5309.9909683699998</v>
      </c>
    </row>
    <row r="133" spans="1:2">
      <c r="A133">
        <v>8</v>
      </c>
      <c r="B133">
        <v>4357.3143498500003</v>
      </c>
    </row>
    <row r="134" spans="1:2">
      <c r="A134">
        <v>9</v>
      </c>
      <c r="B134">
        <v>3597.5052267900001</v>
      </c>
    </row>
    <row r="135" spans="1:2">
      <c r="A135">
        <v>10</v>
      </c>
      <c r="B135">
        <v>2987.5826778199998</v>
      </c>
    </row>
    <row r="136" spans="1:2">
      <c r="A136">
        <v>11</v>
      </c>
      <c r="B136">
        <v>2494.94059143</v>
      </c>
    </row>
    <row r="137" spans="1:2">
      <c r="A137">
        <v>12</v>
      </c>
      <c r="B137">
        <v>2094.66624546</v>
      </c>
    </row>
    <row r="138" spans="1:2">
      <c r="A138">
        <v>13</v>
      </c>
      <c r="B138">
        <v>1767.5945050800001</v>
      </c>
    </row>
    <row r="139" spans="1:2">
      <c r="A139">
        <v>14</v>
      </c>
      <c r="B139">
        <v>1498.88488306</v>
      </c>
    </row>
    <row r="140" spans="1:2">
      <c r="A140">
        <v>15</v>
      </c>
      <c r="B140">
        <v>1276.9732216499999</v>
      </c>
    </row>
    <row r="141" spans="1:2">
      <c r="A141">
        <v>16</v>
      </c>
      <c r="B141">
        <v>1092.7938526800001</v>
      </c>
    </row>
    <row r="142" spans="1:2">
      <c r="A142">
        <v>17</v>
      </c>
      <c r="B142">
        <v>939.19848931599995</v>
      </c>
    </row>
    <row r="143" spans="1:2">
      <c r="A143">
        <v>18</v>
      </c>
      <c r="B143">
        <v>810.51922855999999</v>
      </c>
    </row>
    <row r="144" spans="1:2">
      <c r="A144">
        <v>19</v>
      </c>
      <c r="B144">
        <v>702.23784105100003</v>
      </c>
    </row>
    <row r="145" spans="1:2">
      <c r="A145">
        <v>20</v>
      </c>
      <c r="B145">
        <v>610.73396850799998</v>
      </c>
    </row>
    <row r="146" spans="1:2">
      <c r="A146">
        <v>21</v>
      </c>
      <c r="B146">
        <v>533.09227392299999</v>
      </c>
    </row>
    <row r="147" spans="1:2">
      <c r="A147">
        <v>22</v>
      </c>
      <c r="B147">
        <v>466.95390538700002</v>
      </c>
    </row>
    <row r="148" spans="1:2">
      <c r="A148">
        <v>23</v>
      </c>
      <c r="B148">
        <v>410.401466035</v>
      </c>
    </row>
    <row r="149" spans="1:2">
      <c r="A149">
        <v>24</v>
      </c>
      <c r="B149">
        <v>361.86946251099999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63A5-771E-4C61-94B3-961E7BDBE307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631C8976D074281A641DC4F43BB5D" ma:contentTypeVersion="19" ma:contentTypeDescription="Create a new document." ma:contentTypeScope="" ma:versionID="480490933a15cb4b67aef200cc01ae45">
  <xsd:schema xmlns:xsd="http://www.w3.org/2001/XMLSchema" xmlns:xs="http://www.w3.org/2001/XMLSchema" xmlns:p="http://schemas.microsoft.com/office/2006/metadata/properties" xmlns:ns2="d048c48d-ff74-4ce6-aef9-7324c521808c" xmlns:ns3="005cbd11-9e84-4160-b4a6-7d0a67d2929a" xmlns:ns4="8be56858-bf0c-43d6-954d-be7222281d29" targetNamespace="http://schemas.microsoft.com/office/2006/metadata/properties" ma:root="true" ma:fieldsID="9db11e2b377fd78d3389671d3a026016" ns2:_="" ns3:_="" ns4:_="">
    <xsd:import namespace="d048c48d-ff74-4ce6-aef9-7324c521808c"/>
    <xsd:import namespace="005cbd11-9e84-4160-b4a6-7d0a67d2929a"/>
    <xsd:import namespace="8be56858-bf0c-43d6-954d-be7222281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8c48d-ff74-4ce6-aef9-7324c5218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e7ed257-b896-4b55-84f7-2c4d79b9c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cbd11-9e84-4160-b4a6-7d0a67d292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56858-bf0c-43d6-954d-be7222281d29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120c0263-b7ea-4c4a-804e-fad681b20c08}" ma:internalName="TaxCatchAll" ma:showField="CatchAllData" ma:web="005cbd11-9e84-4160-b4a6-7d0a67d292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48c48d-ff74-4ce6-aef9-7324c521808c">
      <Terms xmlns="http://schemas.microsoft.com/office/infopath/2007/PartnerControls"/>
    </lcf76f155ced4ddcb4097134ff3c332f>
    <TaxCatchAll xmlns="8be56858-bf0c-43d6-954d-be7222281d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AEC10E-10BD-4665-9834-5105253F6FAE}"/>
</file>

<file path=customXml/itemProps2.xml><?xml version="1.0" encoding="utf-8"?>
<ds:datastoreItem xmlns:ds="http://schemas.openxmlformats.org/officeDocument/2006/customXml" ds:itemID="{D0136E1D-D8D9-4D02-AC58-2A5123B569A1}"/>
</file>

<file path=customXml/itemProps3.xml><?xml version="1.0" encoding="utf-8"?>
<ds:datastoreItem xmlns:ds="http://schemas.openxmlformats.org/officeDocument/2006/customXml" ds:itemID="{A2B388A3-4B53-4439-B2AA-2B9E6D406F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Mattis, William (mattiswg)</dc:creator>
  <cp:keywords/>
  <dc:description/>
  <cp:lastModifiedBy>Mattis, William (mattiswg)</cp:lastModifiedBy>
  <cp:revision/>
  <dcterms:created xsi:type="dcterms:W3CDTF">2026-01-06T23:18:55Z</dcterms:created>
  <dcterms:modified xsi:type="dcterms:W3CDTF">2026-06-15T06:46:46Z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0x010100DE1631C8976D074281A641DC4F43BB5D</vt:lpwstr>
  </property>
  <property fmtid="{D5CDD505-2E9C-101B-9397-08002B2CF9AE}" pid="3" name="MediaServiceImageTags">
    <vt:lpwstr/>
  </property>
</Properties>
</file>